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tri\Excel Task challenge\"/>
    </mc:Choice>
  </mc:AlternateContent>
  <xr:revisionPtr revIDLastSave="0" documentId="13_ncr:1_{9A96BE3A-4938-4CC3-8B52-A1AC479FD9D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TASK 3" sheetId="3" r:id="rId2"/>
  </sheets>
  <definedNames>
    <definedName name="_xlnm._FilterDatabase" localSheetId="0" hidden="1">Sheet1!$A$1:$I$1</definedName>
    <definedName name="_xlnm._FilterDatabase" localSheetId="1" hidden="1">'TASK 3'!$A$1:$I$151</definedName>
  </definedNames>
  <calcPr calcId="191029"/>
</workbook>
</file>

<file path=xl/calcChain.xml><?xml version="1.0" encoding="utf-8"?>
<calcChain xmlns="http://schemas.openxmlformats.org/spreadsheetml/2006/main">
  <c r="L8" i="3" l="1"/>
  <c r="L3" i="3"/>
  <c r="L7" i="3"/>
  <c r="L6" i="3"/>
  <c r="L5" i="3"/>
  <c r="L4" i="3"/>
</calcChain>
</file>

<file path=xl/sharedStrings.xml><?xml version="1.0" encoding="utf-8"?>
<sst xmlns="http://schemas.openxmlformats.org/spreadsheetml/2006/main" count="1645" uniqueCount="290">
  <si>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</si>
  <si>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</si>
  <si>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</si>
  <si>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</si>
  <si>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</si>
  <si>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</si>
  <si>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</si>
  <si>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</si>
  <si>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</si>
  <si>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</si>
  <si>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</si>
  <si>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</si>
  <si>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</si>
  <si>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</si>
  <si>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</si>
  <si>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</si>
  <si>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</si>
  <si>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</si>
  <si>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</si>
  <si>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</si>
  <si>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</si>
  <si>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</si>
  <si>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</si>
  <si>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</si>
  <si>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</si>
  <si>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</si>
  <si>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</si>
  <si>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</si>
  <si>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</si>
  <si>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</si>
  <si>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</si>
  <si>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</si>
  <si>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</si>
  <si>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</si>
  <si>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</si>
  <si>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</si>
  <si>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</si>
  <si>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</si>
  <si>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</si>
  <si>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</si>
  <si>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</si>
  <si>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</si>
  <si>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</si>
  <si>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</si>
  <si>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</si>
  <si>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</si>
  <si>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</si>
  <si>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</si>
  <si>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</si>
  <si>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</si>
  <si>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</si>
  <si>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</si>
  <si>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</si>
  <si>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</si>
  <si>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</si>
  <si>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</si>
  <si>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</si>
  <si>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</si>
  <si>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</si>
  <si>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</si>
  <si>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</si>
  <si>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</si>
  <si>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</si>
  <si>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</si>
  <si>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</si>
  <si>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</si>
  <si>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</si>
  <si>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</si>
  <si>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</si>
  <si>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</si>
  <si>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</si>
  <si>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</si>
  <si>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</si>
  <si>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</si>
  <si>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</si>
  <si>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</si>
  <si>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</si>
  <si>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</si>
  <si>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</si>
  <si>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</si>
  <si>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</si>
  <si>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</si>
  <si>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</si>
  <si>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</si>
  <si>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</si>
  <si>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</si>
  <si>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</si>
  <si>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</si>
  <si>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</si>
  <si>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</si>
  <si>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</si>
  <si>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</si>
  <si>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</si>
  <si>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</si>
  <si>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</si>
  <si>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</si>
  <si>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</si>
  <si>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</si>
  <si>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</si>
  <si>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</si>
  <si>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</si>
  <si>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</si>
  <si>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</si>
  <si>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</si>
  <si>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</si>
  <si>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</si>
  <si>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</si>
  <si>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</si>
  <si>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</si>
  <si>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</si>
  <si>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</si>
  <si>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</si>
  <si>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</si>
  <si>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</si>
  <si>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</si>
  <si>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</si>
  <si>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</si>
  <si>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</si>
  <si>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</si>
  <si>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</si>
  <si>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</si>
  <si>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</si>
  <si>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</si>
  <si>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</si>
  <si>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</si>
  <si>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</si>
  <si>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</si>
  <si>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</si>
  <si>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</si>
  <si>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</si>
  <si>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</si>
  <si>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</si>
  <si>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</si>
  <si>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</si>
  <si>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</si>
  <si>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</si>
  <si>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</si>
  <si>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</si>
  <si>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</si>
  <si>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</si>
  <si>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</si>
  <si>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</si>
  <si>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</si>
  <si>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</si>
  <si>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</si>
  <si>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</si>
  <si>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</si>
  <si>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</si>
  <si>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</si>
  <si>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</si>
  <si>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</si>
  <si>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</si>
  <si>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</si>
  <si>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</si>
  <si>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</si>
  <si>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</si>
  <si>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</si>
  <si>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</si>
  <si>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</si>
  <si>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</si>
  <si>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</si>
  <si>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</si>
  <si>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</si>
  <si>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</si>
  <si>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</si>
  <si>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</si>
  <si>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</si>
  <si>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</si>
  <si>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</si>
  <si>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</si>
  <si>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</si>
  <si>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</si>
  <si>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</si>
  <si>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</si>
  <si>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</si>
  <si>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</si>
  <si>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</si>
  <si>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</si>
  <si>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</si>
  <si>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</si>
  <si>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</si>
  <si>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</si>
  <si>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</si>
  <si>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</si>
  <si>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</si>
  <si>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</si>
  <si>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</si>
  <si>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</si>
  <si>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</si>
  <si>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</si>
  <si>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</si>
  <si>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</si>
  <si>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</si>
  <si>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</si>
  <si>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</si>
  <si>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</si>
  <si>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</si>
  <si>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</si>
  <si>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</si>
  <si>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</si>
  <si>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</si>
  <si>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</si>
  <si>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</si>
  <si>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</si>
  <si>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</si>
  <si>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</si>
  <si>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</si>
  <si>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</si>
  <si>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</si>
  <si>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</si>
  <si>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</si>
  <si>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</si>
  <si>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</si>
  <si>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</si>
  <si>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</si>
  <si>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</si>
  <si>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</si>
  <si>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</si>
  <si>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</si>
  <si>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</si>
  <si>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</si>
  <si>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</si>
  <si>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</si>
  <si>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</si>
  <si>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</si>
  <si>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</si>
  <si>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</si>
  <si>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</si>
  <si>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</si>
  <si>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</si>
  <si>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</si>
  <si>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</si>
  <si>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</si>
  <si>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</si>
  <si>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</si>
  <si>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</si>
  <si>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</si>
  <si>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</si>
  <si>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</si>
  <si>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</si>
  <si>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</si>
  <si>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</si>
  <si>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</si>
  <si>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</si>
  <si>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</si>
  <si>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</si>
  <si>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</si>
  <si>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</si>
  <si>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</si>
  <si>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</si>
  <si>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</si>
  <si>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</si>
  <si>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</si>
  <si>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</si>
  <si>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</si>
  <si>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</si>
  <si>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</si>
  <si>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</si>
  <si>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</si>
  <si>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</si>
  <si>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</si>
  <si>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</si>
  <si>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</si>
  <si>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</si>
  <si>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</si>
  <si>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</si>
  <si>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</si>
  <si>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</si>
  <si>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</si>
  <si>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</si>
  <si>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</si>
  <si>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</si>
  <si>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</si>
  <si>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</si>
  <si>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</si>
  <si>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</si>
  <si>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</si>
  <si>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</si>
  <si>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</si>
  <si>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</si>
  <si>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</si>
  <si>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  Eve     Adams</t>
  </si>
  <si>
    <t>Functions</t>
  </si>
  <si>
    <t>alice brown</t>
  </si>
  <si>
    <t>AVERAGE SALARY</t>
  </si>
  <si>
    <t>MINIMUM SALARY</t>
  </si>
  <si>
    <t>MAXIMUM SALARY</t>
  </si>
  <si>
    <t>TOTAL SALARY</t>
  </si>
  <si>
    <t>EMPLYOEE COUNT</t>
  </si>
  <si>
    <t>SALARY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</si>
</sst>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righ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border>
        <bottom style="thin">
          <color theme="0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00C73-5559-47D2-A8CC-F0B6AD76F35F}" name="Table1" displayName="Table1" ref="A1:I151" totalsRowShown="0" headerRowDxfId="4" dataDxfId="8" headerRowBorderDxfId="5" tableBorderDxfId="19" totalsRowBorderDxfId="18">
  <tableColumns count="9">
    <tableColumn id="1" xr3:uid="{A799E0B4-0660-4EA9-B75D-A63AC7335392}" name="Employee ID" dataDxfId="17"/>
    <tableColumn id="2" xr3:uid="{E34A953F-3F73-4D3E-9D6D-9C783EA6A084}" name="Name" dataDxfId="16"/>
    <tableColumn id="3" xr3:uid="{1A2C7812-EA7A-4299-97AA-2CBAE171A4EF}" name="Department" dataDxfId="15"/>
    <tableColumn id="4" xr3:uid="{B5D4F713-7633-48B7-932A-25B6C6207A5F}" name="Country" dataDxfId="14"/>
    <tableColumn id="5" xr3:uid="{E9747162-929B-471B-8E1F-D459A272796D}" name="Salary" dataDxfId="13"/>
    <tableColumn id="6" xr3:uid="{7C474D77-7D48-42E7-B1FA-19B8061B70A4}" name="Date of Joining" dataDxfId="12"/>
    <tableColumn id="7" xr3:uid="{9473300F-0878-4F5C-A644-822CEE75A9DF}" name="Performance Rating" dataDxfId="11"/>
    <tableColumn id="8" xr3:uid="{9F20E02B-4999-4832-84B3-C08E88562169}" name="Gender" dataDxfId="10"/>
    <tableColumn id="9" xr3:uid="{99DD816A-F1B4-4DB6-8360-246815073C3E}" name="Email" dataDxfId="9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761B83-B623-4FD9-8E56-77C6943DD232}" name="Table2" displayName="Table2" ref="K2:L8" totalsRowShown="0" headerRowDxfId="1" dataDxfId="0" headerRowBorderDxfId="6" tableBorderDxfId="7">
  <tableColumns count="2">
    <tableColumn id="1" xr3:uid="{D29A5E18-242E-4293-A272-BF9F13C140BF}" name="Functions" dataDxfId="3"/>
    <tableColumn id="2" xr3:uid="{0D6616C7-B8A8-46AF-83D6-8B224D0076D4}" name="Salary" dataDxfId="2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21" sqref="B21"/>
    </sheetView>
  </sheetViews>
  <sheetFormatPr defaultRowHeight="14.4" x14ac:dyDescent="0.3"/>
  <cols>
    <col min="1" max="1" width="15.88671875" customWidth="1"/>
    <col min="2" max="3" width="16" customWidth="1"/>
    <col min="4" max="4" width="14.5546875" customWidth="1"/>
    <col min="5" max="5" width="13.6640625" customWidth="1"/>
    <col min="6" max="6" width="20.5546875" customWidth="1"/>
    <col min="7" max="7" width="18.5546875" customWidth="1"/>
    <col min="8" max="8" width="11.109375" customWidth="1"/>
    <col min="9" max="9" width="2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04E6-0767-4038-B589-E17F2D17B00E}">
  <sheetPr>
    <tabColor theme="7" tint="-0.249977111117893"/>
  </sheetPr>
  <dimension ref="A1:L151"/>
  <sheetViews>
    <sheetView tabSelected="1" zoomScale="70" zoomScaleNormal="70" workbookViewId="0">
      <selection activeCell="O17" sqref="O16:O17"/>
    </sheetView>
  </sheetViews>
  <sheetFormatPr defaultRowHeight="14.4" x14ac:dyDescent="0.3"/>
  <cols>
    <col min="1" max="1" width="20.44140625" customWidth="1"/>
    <col min="2" max="2" width="16" customWidth="1"/>
    <col min="3" max="3" width="21.109375" customWidth="1"/>
    <col min="4" max="4" width="14.5546875" customWidth="1"/>
    <col min="5" max="5" width="19.109375" customWidth="1"/>
    <col min="6" max="6" width="23.44140625" customWidth="1"/>
    <col min="7" max="7" width="30.6640625" customWidth="1"/>
    <col min="8" max="8" width="19.21875" customWidth="1"/>
    <col min="9" max="9" width="30.109375" customWidth="1"/>
    <col min="11" max="11" width="29.21875" customWidth="1"/>
    <col min="12" max="12" width="23.5546875" customWidth="1"/>
  </cols>
  <sheetData>
    <row r="1" spans="1:12" ht="18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12" ht="18" customHeight="1" thickBot="1" x14ac:dyDescent="0.4">
      <c r="A2" s="13" t="s">
        <v>9</v>
      </c>
      <c r="B2" s="3" t="s">
        <v>165</v>
      </c>
      <c r="C2" s="14" t="s">
        <v>166</v>
      </c>
      <c r="D2" s="14" t="s">
        <v>171</v>
      </c>
      <c r="E2" s="14" t="s">
        <v>177</v>
      </c>
      <c r="F2" s="14"/>
      <c r="G2" s="14">
        <v>2</v>
      </c>
      <c r="H2" s="14" t="s">
        <v>178</v>
      </c>
      <c r="I2" s="15" t="s">
        <v>182</v>
      </c>
      <c r="K2" s="17" t="s">
        <v>282</v>
      </c>
      <c r="L2" s="18" t="s">
        <v>4</v>
      </c>
    </row>
    <row r="3" spans="1:12" ht="18" customHeight="1" x14ac:dyDescent="0.35">
      <c r="A3" s="5" t="s">
        <v>10</v>
      </c>
      <c r="B3" s="3" t="s">
        <v>281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6" t="s">
        <v>183</v>
      </c>
      <c r="K3" s="11" t="s">
        <v>287</v>
      </c>
      <c r="L3" s="12">
        <f>SUM(E2:E151)</f>
        <v>9411892</v>
      </c>
    </row>
    <row r="4" spans="1:12" ht="18" customHeight="1" x14ac:dyDescent="0.35">
      <c r="A4" s="5" t="s">
        <v>11</v>
      </c>
      <c r="B4" s="3" t="s">
        <v>283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6" t="s">
        <v>184</v>
      </c>
      <c r="K4" s="11" t="s">
        <v>284</v>
      </c>
      <c r="L4" s="12">
        <f>AVERAGE(E2:E151)</f>
        <v>66280.929577464791</v>
      </c>
    </row>
    <row r="5" spans="1:12" ht="18" customHeight="1" x14ac:dyDescent="0.35">
      <c r="A5" s="5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6" t="s">
        <v>185</v>
      </c>
      <c r="K5" s="11" t="s">
        <v>285</v>
      </c>
      <c r="L5" s="12">
        <f>MIN(E2:E151)</f>
        <v>30280</v>
      </c>
    </row>
    <row r="6" spans="1:12" ht="18" customHeight="1" x14ac:dyDescent="0.35">
      <c r="A6" s="5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6" t="s">
        <v>186</v>
      </c>
      <c r="K6" s="11" t="s">
        <v>286</v>
      </c>
      <c r="L6" s="12">
        <f>MAX(E2:E151)</f>
        <v>99621</v>
      </c>
    </row>
    <row r="7" spans="1:12" ht="18" customHeight="1" x14ac:dyDescent="0.35">
      <c r="A7" s="5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6" t="s">
        <v>187</v>
      </c>
      <c r="K7" s="11" t="s">
        <v>289</v>
      </c>
      <c r="L7" s="12">
        <f>COUNT(E2:E151)</f>
        <v>142</v>
      </c>
    </row>
    <row r="8" spans="1:12" ht="18" customHeight="1" x14ac:dyDescent="0.35">
      <c r="A8" s="5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6" t="s">
        <v>185</v>
      </c>
      <c r="K8" s="11" t="s">
        <v>288</v>
      </c>
      <c r="L8" s="12">
        <f>COUNTA(A15:A164)</f>
        <v>137</v>
      </c>
    </row>
    <row r="9" spans="1:12" ht="18" customHeight="1" x14ac:dyDescent="0.3">
      <c r="A9" s="5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6" t="s">
        <v>188</v>
      </c>
    </row>
    <row r="10" spans="1:12" ht="18" customHeight="1" x14ac:dyDescent="0.3">
      <c r="A10" s="5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6" t="s">
        <v>189</v>
      </c>
    </row>
    <row r="11" spans="1:12" ht="18" customHeight="1" x14ac:dyDescent="0.3">
      <c r="A11" s="5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6" t="s">
        <v>190</v>
      </c>
    </row>
    <row r="12" spans="1:12" ht="18" customHeight="1" x14ac:dyDescent="0.3">
      <c r="A12" s="5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6" t="s">
        <v>191</v>
      </c>
    </row>
    <row r="13" spans="1:12" ht="18" customHeight="1" x14ac:dyDescent="0.3">
      <c r="A13" s="5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6" t="s">
        <v>192</v>
      </c>
    </row>
    <row r="14" spans="1:12" ht="18" customHeight="1" x14ac:dyDescent="0.3">
      <c r="A14" s="5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6" t="s">
        <v>183</v>
      </c>
    </row>
    <row r="15" spans="1:12" ht="18" customHeight="1" x14ac:dyDescent="0.3">
      <c r="A15" s="5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6" t="s">
        <v>193</v>
      </c>
    </row>
    <row r="16" spans="1:12" ht="18" customHeight="1" x14ac:dyDescent="0.3">
      <c r="A16" s="5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6" t="s">
        <v>194</v>
      </c>
    </row>
    <row r="17" spans="1:9" ht="18" customHeight="1" x14ac:dyDescent="0.3">
      <c r="A17" s="5" t="s">
        <v>24</v>
      </c>
      <c r="B17" s="3" t="s">
        <v>159</v>
      </c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6" t="s">
        <v>195</v>
      </c>
    </row>
    <row r="18" spans="1:9" ht="18" customHeight="1" x14ac:dyDescent="0.3">
      <c r="A18" s="5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6" t="s">
        <v>196</v>
      </c>
    </row>
    <row r="19" spans="1:9" ht="18" customHeight="1" x14ac:dyDescent="0.3">
      <c r="A19" s="5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6" t="s">
        <v>197</v>
      </c>
    </row>
    <row r="20" spans="1:9" ht="18" customHeight="1" x14ac:dyDescent="0.3">
      <c r="A20" s="5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6" t="s">
        <v>198</v>
      </c>
    </row>
    <row r="21" spans="1:9" ht="18" customHeight="1" x14ac:dyDescent="0.3">
      <c r="A21" s="5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6" t="s">
        <v>199</v>
      </c>
    </row>
    <row r="22" spans="1:9" ht="18" customHeight="1" x14ac:dyDescent="0.3">
      <c r="A22" s="5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6" t="s">
        <v>200</v>
      </c>
    </row>
    <row r="23" spans="1:9" ht="18" customHeight="1" x14ac:dyDescent="0.3">
      <c r="A23" s="5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6" t="s">
        <v>201</v>
      </c>
    </row>
    <row r="24" spans="1:9" ht="18" customHeight="1" x14ac:dyDescent="0.3">
      <c r="A24" s="5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6" t="s">
        <v>202</v>
      </c>
    </row>
    <row r="25" spans="1:9" ht="18" customHeight="1" x14ac:dyDescent="0.3">
      <c r="A25" s="5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6" t="s">
        <v>203</v>
      </c>
    </row>
    <row r="26" spans="1:9" ht="18" customHeight="1" x14ac:dyDescent="0.3">
      <c r="A26" s="5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6" t="s">
        <v>204</v>
      </c>
    </row>
    <row r="27" spans="1:9" ht="18" customHeight="1" x14ac:dyDescent="0.3">
      <c r="A27" s="5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6" t="s">
        <v>205</v>
      </c>
    </row>
    <row r="28" spans="1:9" ht="18" customHeight="1" x14ac:dyDescent="0.3">
      <c r="A28" s="5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6" t="s">
        <v>206</v>
      </c>
    </row>
    <row r="29" spans="1:9" ht="18" customHeight="1" x14ac:dyDescent="0.3">
      <c r="A29" s="5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6" t="s">
        <v>207</v>
      </c>
    </row>
    <row r="30" spans="1:9" ht="18" customHeight="1" x14ac:dyDescent="0.3">
      <c r="A30" s="5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6" t="s">
        <v>208</v>
      </c>
    </row>
    <row r="31" spans="1:9" ht="18" customHeight="1" x14ac:dyDescent="0.3">
      <c r="A31" s="5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6" t="s">
        <v>209</v>
      </c>
    </row>
    <row r="32" spans="1:9" ht="18" customHeight="1" x14ac:dyDescent="0.3">
      <c r="A32" s="5" t="s">
        <v>39</v>
      </c>
      <c r="B32" s="3" t="s">
        <v>164</v>
      </c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6" t="s">
        <v>210</v>
      </c>
    </row>
    <row r="33" spans="1:9" ht="18" customHeight="1" x14ac:dyDescent="0.3">
      <c r="A33" s="5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6" t="s">
        <v>211</v>
      </c>
    </row>
    <row r="34" spans="1:9" ht="18" customHeight="1" x14ac:dyDescent="0.3">
      <c r="A34" s="5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6" t="s">
        <v>212</v>
      </c>
    </row>
    <row r="35" spans="1:9" ht="18" customHeight="1" x14ac:dyDescent="0.3">
      <c r="A35" s="5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6" t="s">
        <v>213</v>
      </c>
    </row>
    <row r="36" spans="1:9" ht="18" customHeight="1" x14ac:dyDescent="0.3">
      <c r="A36" s="5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6" t="s">
        <v>214</v>
      </c>
    </row>
    <row r="37" spans="1:9" ht="18" customHeight="1" x14ac:dyDescent="0.3">
      <c r="A37" s="5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6" t="s">
        <v>182</v>
      </c>
    </row>
    <row r="38" spans="1:9" ht="18" customHeight="1" x14ac:dyDescent="0.3">
      <c r="A38" s="5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6" t="s">
        <v>215</v>
      </c>
    </row>
    <row r="39" spans="1:9" ht="18" customHeight="1" x14ac:dyDescent="0.3">
      <c r="A39" s="5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6" t="s">
        <v>216</v>
      </c>
    </row>
    <row r="40" spans="1:9" ht="18" customHeight="1" x14ac:dyDescent="0.3">
      <c r="A40" s="5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6" t="s">
        <v>217</v>
      </c>
    </row>
    <row r="41" spans="1:9" ht="18" customHeight="1" x14ac:dyDescent="0.3">
      <c r="A41" s="5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6" t="s">
        <v>218</v>
      </c>
    </row>
    <row r="42" spans="1:9" ht="18" customHeight="1" x14ac:dyDescent="0.3">
      <c r="A42" s="5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6" t="s">
        <v>219</v>
      </c>
    </row>
    <row r="43" spans="1:9" ht="18" customHeight="1" x14ac:dyDescent="0.3">
      <c r="A43" s="5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6" t="s">
        <v>220</v>
      </c>
    </row>
    <row r="44" spans="1:9" ht="18" customHeight="1" x14ac:dyDescent="0.3">
      <c r="A44" s="5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6" t="s">
        <v>221</v>
      </c>
    </row>
    <row r="45" spans="1:9" ht="18" customHeight="1" x14ac:dyDescent="0.3">
      <c r="A45" s="5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6" t="s">
        <v>222</v>
      </c>
    </row>
    <row r="46" spans="1:9" ht="18" customHeight="1" x14ac:dyDescent="0.3">
      <c r="A46" s="5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6" t="s">
        <v>223</v>
      </c>
    </row>
    <row r="47" spans="1:9" ht="18" customHeight="1" x14ac:dyDescent="0.3">
      <c r="A47" s="5" t="s">
        <v>54</v>
      </c>
      <c r="B47" s="3" t="s">
        <v>159</v>
      </c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6" t="s">
        <v>183</v>
      </c>
    </row>
    <row r="48" spans="1:9" ht="18" customHeight="1" x14ac:dyDescent="0.3">
      <c r="A48" s="5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6" t="s">
        <v>224</v>
      </c>
    </row>
    <row r="49" spans="1:9" ht="18" customHeight="1" x14ac:dyDescent="0.3">
      <c r="A49" s="5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6" t="s">
        <v>225</v>
      </c>
    </row>
    <row r="50" spans="1:9" ht="18" customHeight="1" x14ac:dyDescent="0.3">
      <c r="A50" s="5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6" t="s">
        <v>187</v>
      </c>
    </row>
    <row r="51" spans="1:9" ht="18" customHeight="1" x14ac:dyDescent="0.3">
      <c r="A51" s="5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6" t="s">
        <v>219</v>
      </c>
    </row>
    <row r="52" spans="1:9" ht="18" customHeight="1" x14ac:dyDescent="0.3">
      <c r="A52" s="5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6" t="s">
        <v>226</v>
      </c>
    </row>
    <row r="53" spans="1:9" ht="18" customHeight="1" x14ac:dyDescent="0.3">
      <c r="A53" s="5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6" t="s">
        <v>227</v>
      </c>
    </row>
    <row r="54" spans="1:9" ht="18" customHeight="1" x14ac:dyDescent="0.3">
      <c r="A54" s="5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6" t="s">
        <v>228</v>
      </c>
    </row>
    <row r="55" spans="1:9" ht="18" customHeight="1" x14ac:dyDescent="0.3">
      <c r="A55" s="5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6" t="s">
        <v>200</v>
      </c>
    </row>
    <row r="56" spans="1:9" ht="18" customHeight="1" x14ac:dyDescent="0.3">
      <c r="A56" s="5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6" t="s">
        <v>229</v>
      </c>
    </row>
    <row r="57" spans="1:9" ht="18" customHeight="1" x14ac:dyDescent="0.3">
      <c r="A57" s="5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6" t="s">
        <v>230</v>
      </c>
    </row>
    <row r="58" spans="1:9" ht="18" customHeight="1" x14ac:dyDescent="0.3">
      <c r="A58" s="5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6" t="s">
        <v>231</v>
      </c>
    </row>
    <row r="59" spans="1:9" ht="18" customHeight="1" x14ac:dyDescent="0.3">
      <c r="A59" s="5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6" t="s">
        <v>207</v>
      </c>
    </row>
    <row r="60" spans="1:9" ht="18" customHeight="1" x14ac:dyDescent="0.3">
      <c r="A60" s="5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6" t="s">
        <v>232</v>
      </c>
    </row>
    <row r="61" spans="1:9" ht="18" customHeight="1" x14ac:dyDescent="0.3">
      <c r="A61" s="5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6" t="s">
        <v>223</v>
      </c>
    </row>
    <row r="62" spans="1:9" ht="18" customHeight="1" x14ac:dyDescent="0.3">
      <c r="A62" s="5" t="s">
        <v>69</v>
      </c>
      <c r="B62" s="3" t="s">
        <v>159</v>
      </c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6" t="s">
        <v>233</v>
      </c>
    </row>
    <row r="63" spans="1:9" ht="18" customHeight="1" x14ac:dyDescent="0.3">
      <c r="A63" s="5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6" t="s">
        <v>215</v>
      </c>
    </row>
    <row r="64" spans="1:9" ht="18" customHeight="1" x14ac:dyDescent="0.3">
      <c r="A64" s="5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6" t="s">
        <v>234</v>
      </c>
    </row>
    <row r="65" spans="1:9" ht="18" customHeight="1" x14ac:dyDescent="0.3">
      <c r="A65" s="5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6" t="s">
        <v>235</v>
      </c>
    </row>
    <row r="66" spans="1:9" ht="18" customHeight="1" x14ac:dyDescent="0.3">
      <c r="A66" s="5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6" t="s">
        <v>236</v>
      </c>
    </row>
    <row r="67" spans="1:9" ht="18" customHeight="1" x14ac:dyDescent="0.3">
      <c r="A67" s="5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6" t="s">
        <v>237</v>
      </c>
    </row>
    <row r="68" spans="1:9" ht="18" customHeight="1" x14ac:dyDescent="0.3">
      <c r="A68" s="5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6" t="s">
        <v>238</v>
      </c>
    </row>
    <row r="69" spans="1:9" ht="18" customHeight="1" x14ac:dyDescent="0.3">
      <c r="A69" s="5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6" t="s">
        <v>239</v>
      </c>
    </row>
    <row r="70" spans="1:9" ht="18" customHeight="1" x14ac:dyDescent="0.3">
      <c r="A70" s="5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6" t="s">
        <v>201</v>
      </c>
    </row>
    <row r="71" spans="1:9" ht="18" customHeight="1" x14ac:dyDescent="0.3">
      <c r="A71" s="5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6" t="s">
        <v>240</v>
      </c>
    </row>
    <row r="72" spans="1:9" ht="18" customHeight="1" x14ac:dyDescent="0.3">
      <c r="A72" s="5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6" t="s">
        <v>182</v>
      </c>
    </row>
    <row r="73" spans="1:9" ht="18" customHeight="1" x14ac:dyDescent="0.3">
      <c r="A73" s="5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6" t="s">
        <v>241</v>
      </c>
    </row>
    <row r="74" spans="1:9" ht="18" customHeight="1" x14ac:dyDescent="0.3">
      <c r="A74" s="5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6" t="s">
        <v>190</v>
      </c>
    </row>
    <row r="75" spans="1:9" ht="18" customHeight="1" x14ac:dyDescent="0.3">
      <c r="A75" s="5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6" t="s">
        <v>234</v>
      </c>
    </row>
    <row r="76" spans="1:9" ht="18" customHeight="1" x14ac:dyDescent="0.3">
      <c r="A76" s="5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6" t="s">
        <v>211</v>
      </c>
    </row>
    <row r="77" spans="1:9" ht="18" customHeight="1" x14ac:dyDescent="0.3">
      <c r="A77" s="5" t="s">
        <v>84</v>
      </c>
      <c r="B77" s="3" t="s">
        <v>159</v>
      </c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6" t="s">
        <v>242</v>
      </c>
    </row>
    <row r="78" spans="1:9" ht="18" customHeight="1" x14ac:dyDescent="0.3">
      <c r="A78" s="5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6" t="s">
        <v>223</v>
      </c>
    </row>
    <row r="79" spans="1:9" ht="18" customHeight="1" x14ac:dyDescent="0.3">
      <c r="A79" s="5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6" t="s">
        <v>243</v>
      </c>
    </row>
    <row r="80" spans="1:9" ht="18" customHeight="1" x14ac:dyDescent="0.3">
      <c r="A80" s="5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6" t="s">
        <v>244</v>
      </c>
    </row>
    <row r="81" spans="1:9" ht="18" customHeight="1" x14ac:dyDescent="0.3">
      <c r="A81" s="5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6" t="s">
        <v>245</v>
      </c>
    </row>
    <row r="82" spans="1:9" ht="18" customHeight="1" x14ac:dyDescent="0.3">
      <c r="A82" s="5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6" t="s">
        <v>208</v>
      </c>
    </row>
    <row r="83" spans="1:9" ht="18" customHeight="1" x14ac:dyDescent="0.3">
      <c r="A83" s="5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6" t="s">
        <v>246</v>
      </c>
    </row>
    <row r="84" spans="1:9" ht="18" customHeight="1" x14ac:dyDescent="0.3">
      <c r="A84" s="5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6" t="s">
        <v>247</v>
      </c>
    </row>
    <row r="85" spans="1:9" ht="18" customHeight="1" x14ac:dyDescent="0.3">
      <c r="A85" s="5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6" t="s">
        <v>248</v>
      </c>
    </row>
    <row r="86" spans="1:9" ht="18" customHeight="1" x14ac:dyDescent="0.3">
      <c r="A86" s="5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6" t="s">
        <v>220</v>
      </c>
    </row>
    <row r="87" spans="1:9" ht="18" customHeight="1" x14ac:dyDescent="0.3">
      <c r="A87" s="5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6" t="s">
        <v>249</v>
      </c>
    </row>
    <row r="88" spans="1:9" ht="18" customHeight="1" x14ac:dyDescent="0.3">
      <c r="A88" s="5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6" t="s">
        <v>250</v>
      </c>
    </row>
    <row r="89" spans="1:9" ht="18" customHeight="1" x14ac:dyDescent="0.3">
      <c r="A89" s="5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6" t="s">
        <v>203</v>
      </c>
    </row>
    <row r="90" spans="1:9" ht="18" customHeight="1" x14ac:dyDescent="0.3">
      <c r="A90" s="5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6" t="s">
        <v>251</v>
      </c>
    </row>
    <row r="91" spans="1:9" ht="18" customHeight="1" x14ac:dyDescent="0.3">
      <c r="A91" s="5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6" t="s">
        <v>203</v>
      </c>
    </row>
    <row r="92" spans="1:9" ht="18" customHeight="1" x14ac:dyDescent="0.3">
      <c r="A92" s="5" t="s">
        <v>99</v>
      </c>
      <c r="B92" s="3" t="s">
        <v>159</v>
      </c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6" t="s">
        <v>240</v>
      </c>
    </row>
    <row r="93" spans="1:9" ht="18" customHeight="1" x14ac:dyDescent="0.3">
      <c r="A93" s="5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6" t="s">
        <v>225</v>
      </c>
    </row>
    <row r="94" spans="1:9" ht="18" customHeight="1" x14ac:dyDescent="0.3">
      <c r="A94" s="5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6" t="s">
        <v>216</v>
      </c>
    </row>
    <row r="95" spans="1:9" ht="18" customHeight="1" x14ac:dyDescent="0.3">
      <c r="A95" s="5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6" t="s">
        <v>252</v>
      </c>
    </row>
    <row r="96" spans="1:9" ht="18" customHeight="1" x14ac:dyDescent="0.3">
      <c r="A96" s="5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6" t="s">
        <v>253</v>
      </c>
    </row>
    <row r="97" spans="1:9" ht="18" customHeight="1" x14ac:dyDescent="0.3">
      <c r="A97" s="5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6" t="s">
        <v>254</v>
      </c>
    </row>
    <row r="98" spans="1:9" ht="18" customHeight="1" x14ac:dyDescent="0.3">
      <c r="A98" s="5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6" t="s">
        <v>255</v>
      </c>
    </row>
    <row r="99" spans="1:9" ht="18" customHeight="1" x14ac:dyDescent="0.3">
      <c r="A99" s="5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6" t="s">
        <v>256</v>
      </c>
    </row>
    <row r="100" spans="1:9" ht="18" customHeight="1" x14ac:dyDescent="0.3">
      <c r="A100" s="5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6" t="s">
        <v>257</v>
      </c>
    </row>
    <row r="101" spans="1:9" ht="18" customHeight="1" x14ac:dyDescent="0.3">
      <c r="A101" s="5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6" t="s">
        <v>258</v>
      </c>
    </row>
    <row r="102" spans="1:9" ht="18" customHeight="1" x14ac:dyDescent="0.3">
      <c r="A102" s="5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6" t="s">
        <v>259</v>
      </c>
    </row>
    <row r="103" spans="1:9" ht="18" customHeight="1" x14ac:dyDescent="0.3">
      <c r="A103" s="5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6" t="s">
        <v>200</v>
      </c>
    </row>
    <row r="104" spans="1:9" ht="18" customHeight="1" x14ac:dyDescent="0.3">
      <c r="A104" s="5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6" t="s">
        <v>260</v>
      </c>
    </row>
    <row r="105" spans="1:9" ht="18" customHeight="1" x14ac:dyDescent="0.3">
      <c r="A105" s="5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6" t="s">
        <v>223</v>
      </c>
    </row>
    <row r="106" spans="1:9" ht="18" customHeight="1" x14ac:dyDescent="0.3">
      <c r="A106" s="5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6" t="s">
        <v>259</v>
      </c>
    </row>
    <row r="107" spans="1:9" ht="18" customHeight="1" x14ac:dyDescent="0.3">
      <c r="A107" s="5" t="s">
        <v>114</v>
      </c>
      <c r="B107" s="3" t="s">
        <v>159</v>
      </c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6" t="s">
        <v>182</v>
      </c>
    </row>
    <row r="108" spans="1:9" ht="18" customHeight="1" x14ac:dyDescent="0.3">
      <c r="A108" s="5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6" t="s">
        <v>261</v>
      </c>
    </row>
    <row r="109" spans="1:9" ht="18" customHeight="1" x14ac:dyDescent="0.3">
      <c r="A109" s="5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6" t="s">
        <v>202</v>
      </c>
    </row>
    <row r="110" spans="1:9" ht="18" customHeight="1" x14ac:dyDescent="0.3">
      <c r="A110" s="5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6" t="s">
        <v>262</v>
      </c>
    </row>
    <row r="111" spans="1:9" ht="18" customHeight="1" x14ac:dyDescent="0.3">
      <c r="A111" s="5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6" t="s">
        <v>263</v>
      </c>
    </row>
    <row r="112" spans="1:9" ht="18" customHeight="1" x14ac:dyDescent="0.3">
      <c r="A112" s="5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6" t="s">
        <v>264</v>
      </c>
    </row>
    <row r="113" spans="1:9" ht="18" customHeight="1" x14ac:dyDescent="0.3">
      <c r="A113" s="5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6" t="s">
        <v>239</v>
      </c>
    </row>
    <row r="114" spans="1:9" ht="18" customHeight="1" x14ac:dyDescent="0.3">
      <c r="A114" s="5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6" t="s">
        <v>258</v>
      </c>
    </row>
    <row r="115" spans="1:9" ht="18" customHeight="1" x14ac:dyDescent="0.3">
      <c r="A115" s="5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6" t="s">
        <v>265</v>
      </c>
    </row>
    <row r="116" spans="1:9" ht="18" customHeight="1" x14ac:dyDescent="0.3">
      <c r="A116" s="5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6" t="s">
        <v>235</v>
      </c>
    </row>
    <row r="117" spans="1:9" ht="18" customHeight="1" x14ac:dyDescent="0.3">
      <c r="A117" s="5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6" t="s">
        <v>203</v>
      </c>
    </row>
    <row r="118" spans="1:9" ht="18" customHeight="1" x14ac:dyDescent="0.3">
      <c r="A118" s="5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6" t="s">
        <v>239</v>
      </c>
    </row>
    <row r="119" spans="1:9" ht="18" customHeight="1" x14ac:dyDescent="0.3">
      <c r="A119" s="5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6" t="s">
        <v>266</v>
      </c>
    </row>
    <row r="120" spans="1:9" ht="18" customHeight="1" x14ac:dyDescent="0.3">
      <c r="A120" s="5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6" t="s">
        <v>267</v>
      </c>
    </row>
    <row r="121" spans="1:9" ht="18" customHeight="1" x14ac:dyDescent="0.3">
      <c r="A121" s="5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6" t="s">
        <v>200</v>
      </c>
    </row>
    <row r="122" spans="1:9" ht="18" customHeight="1" x14ac:dyDescent="0.3">
      <c r="A122" s="5" t="s">
        <v>129</v>
      </c>
      <c r="B122" s="3" t="s">
        <v>164</v>
      </c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6" t="s">
        <v>268</v>
      </c>
    </row>
    <row r="123" spans="1:9" ht="18" customHeight="1" x14ac:dyDescent="0.3">
      <c r="A123" s="5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6" t="s">
        <v>269</v>
      </c>
    </row>
    <row r="124" spans="1:9" ht="18" customHeight="1" x14ac:dyDescent="0.3">
      <c r="A124" s="5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6" t="s">
        <v>270</v>
      </c>
    </row>
    <row r="125" spans="1:9" ht="18" customHeight="1" x14ac:dyDescent="0.3">
      <c r="A125" s="5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6" t="s">
        <v>248</v>
      </c>
    </row>
    <row r="126" spans="1:9" ht="18" customHeight="1" x14ac:dyDescent="0.3">
      <c r="A126" s="5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6" t="s">
        <v>271</v>
      </c>
    </row>
    <row r="127" spans="1:9" ht="18" customHeight="1" x14ac:dyDescent="0.3">
      <c r="A127" s="5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6" t="s">
        <v>272</v>
      </c>
    </row>
    <row r="128" spans="1:9" ht="18" customHeight="1" x14ac:dyDescent="0.3">
      <c r="A128" s="5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6" t="s">
        <v>273</v>
      </c>
    </row>
    <row r="129" spans="1:9" ht="18" customHeight="1" x14ac:dyDescent="0.3">
      <c r="A129" s="5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6" t="s">
        <v>209</v>
      </c>
    </row>
    <row r="130" spans="1:9" ht="18" customHeight="1" x14ac:dyDescent="0.3">
      <c r="A130" s="5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6" t="s">
        <v>274</v>
      </c>
    </row>
    <row r="131" spans="1:9" ht="18" customHeight="1" x14ac:dyDescent="0.3">
      <c r="A131" s="5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6" t="s">
        <v>221</v>
      </c>
    </row>
    <row r="132" spans="1:9" ht="18" customHeight="1" x14ac:dyDescent="0.3">
      <c r="A132" s="5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6" t="s">
        <v>189</v>
      </c>
    </row>
    <row r="133" spans="1:9" ht="18" customHeight="1" x14ac:dyDescent="0.3">
      <c r="A133" s="5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6" t="s">
        <v>218</v>
      </c>
    </row>
    <row r="134" spans="1:9" ht="18" customHeight="1" x14ac:dyDescent="0.3">
      <c r="A134" s="5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6" t="s">
        <v>275</v>
      </c>
    </row>
    <row r="135" spans="1:9" ht="18" customHeight="1" x14ac:dyDescent="0.3">
      <c r="A135" s="5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6" t="s">
        <v>264</v>
      </c>
    </row>
    <row r="136" spans="1:9" ht="18" customHeight="1" x14ac:dyDescent="0.3">
      <c r="A136" s="5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6" t="s">
        <v>231</v>
      </c>
    </row>
    <row r="137" spans="1:9" ht="18" customHeight="1" x14ac:dyDescent="0.3">
      <c r="A137" s="5" t="s">
        <v>144</v>
      </c>
      <c r="B137" s="3" t="s">
        <v>164</v>
      </c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6" t="s">
        <v>214</v>
      </c>
    </row>
    <row r="138" spans="1:9" ht="18" customHeight="1" x14ac:dyDescent="0.3">
      <c r="A138" s="5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6" t="s">
        <v>227</v>
      </c>
    </row>
    <row r="139" spans="1:9" ht="18" customHeight="1" x14ac:dyDescent="0.3">
      <c r="A139" s="5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6" t="s">
        <v>276</v>
      </c>
    </row>
    <row r="140" spans="1:9" ht="18" customHeight="1" x14ac:dyDescent="0.3">
      <c r="A140" s="5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6" t="s">
        <v>195</v>
      </c>
    </row>
    <row r="141" spans="1:9" ht="18" customHeight="1" x14ac:dyDescent="0.3">
      <c r="A141" s="5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6" t="s">
        <v>243</v>
      </c>
    </row>
    <row r="142" spans="1:9" ht="18" customHeight="1" x14ac:dyDescent="0.3">
      <c r="A142" s="5" t="s">
        <v>149</v>
      </c>
      <c r="B142" s="3" t="s">
        <v>164</v>
      </c>
      <c r="C142" s="3" t="s">
        <v>168</v>
      </c>
      <c r="D142" s="3" t="s">
        <v>173</v>
      </c>
      <c r="E142" s="3">
        <v>66882</v>
      </c>
      <c r="F142" s="4">
        <v>42988</v>
      </c>
      <c r="G142" s="3">
        <v>4</v>
      </c>
      <c r="H142" s="3" t="s">
        <v>179</v>
      </c>
      <c r="I142" s="6" t="s">
        <v>182</v>
      </c>
    </row>
    <row r="143" spans="1:9" ht="18" customHeight="1" x14ac:dyDescent="0.3">
      <c r="A143" s="5" t="s">
        <v>150</v>
      </c>
      <c r="B143" s="3" t="s">
        <v>162</v>
      </c>
      <c r="C143" s="3" t="s">
        <v>170</v>
      </c>
      <c r="D143" s="3" t="s">
        <v>173</v>
      </c>
      <c r="E143" s="3"/>
      <c r="F143" s="4">
        <v>42995</v>
      </c>
      <c r="G143" s="3">
        <v>5</v>
      </c>
      <c r="H143" s="3" t="s">
        <v>179</v>
      </c>
      <c r="I143" s="6" t="s">
        <v>207</v>
      </c>
    </row>
    <row r="144" spans="1:9" ht="18" customHeight="1" x14ac:dyDescent="0.3">
      <c r="A144" s="5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6" t="s">
        <v>212</v>
      </c>
    </row>
    <row r="145" spans="1:9" ht="18" customHeight="1" x14ac:dyDescent="0.3">
      <c r="A145" s="5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6" t="s">
        <v>277</v>
      </c>
    </row>
    <row r="146" spans="1:9" ht="18" customHeight="1" x14ac:dyDescent="0.3">
      <c r="A146" s="5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6" t="s">
        <v>278</v>
      </c>
    </row>
    <row r="147" spans="1:9" ht="18" customHeight="1" x14ac:dyDescent="0.3">
      <c r="A147" s="5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6" t="s">
        <v>275</v>
      </c>
    </row>
    <row r="148" spans="1:9" ht="18" customHeight="1" x14ac:dyDescent="0.3">
      <c r="A148" s="5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6" t="s">
        <v>276</v>
      </c>
    </row>
    <row r="149" spans="1:9" ht="18" customHeight="1" x14ac:dyDescent="0.3">
      <c r="A149" s="5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6" t="s">
        <v>279</v>
      </c>
    </row>
    <row r="150" spans="1:9" ht="18" customHeight="1" x14ac:dyDescent="0.3">
      <c r="A150" s="5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6" t="s">
        <v>233</v>
      </c>
    </row>
    <row r="151" spans="1:9" ht="18" customHeight="1" x14ac:dyDescent="0.3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0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Arthi Rathinam</cp:lastModifiedBy>
  <dcterms:created xsi:type="dcterms:W3CDTF">2025-05-31T18:11:07Z</dcterms:created>
  <dcterms:modified xsi:type="dcterms:W3CDTF">2025-12-22T15:37:36Z</dcterms:modified>
</cp:coreProperties>
</file>