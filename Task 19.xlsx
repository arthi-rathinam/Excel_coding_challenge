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Institution\"/>
    </mc:Choice>
  </mc:AlternateContent>
  <xr:revisionPtr revIDLastSave="0" documentId="8_{05ACD71E-46AA-4753-AFBD-C538C6433362}" xr6:coauthVersionLast="47" xr6:coauthVersionMax="47" xr10:uidLastSave="{00000000-0000-0000-0000-000000000000}"/>
  <bookViews>
    <workbookView xWindow="-110" yWindow="-110" windowWidth="19420" windowHeight="10300" tabRatio="855" activeTab="5" xr2:uid="{00000000-000D-0000-FFFF-FFFF00000000}"/>
  </bookViews>
  <sheets>
    <sheet name="Sheet1" sheetId="3" r:id="rId1"/>
    <sheet name="Sheet1(Copy)" sheetId="1" r:id="rId2"/>
    <sheet name="Data Cleaned" sheetId="5" r:id="rId3"/>
    <sheet name="Task 19" sheetId="37" r:id="rId4"/>
    <sheet name="Task 19-Pivot Table" sheetId="39" r:id="rId5"/>
    <sheet name="Task 19 - Dashboard" sheetId="38" r:id="rId6"/>
  </sheets>
  <definedNames>
    <definedName name="_xlnm._FilterDatabase" localSheetId="0" hidden="1">Sheet1!$A$1:$I$151</definedName>
    <definedName name="Slicer_Country3">#N/A</definedName>
    <definedName name="Slicer_Department3">#N/A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9" l="1"/>
  <c r="I3" i="39"/>
  <c r="I1" i="39"/>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c r="L39" i="1" a="1"/>
  <c r="L39" i="1" s="1"/>
  <c r="L40" i="1" a="1"/>
  <c r="L40" i="1"/>
  <c r="L41" i="1" a="1"/>
  <c r="L41" i="1" s="1"/>
  <c r="L42" i="1" a="1"/>
  <c r="L42" i="1" s="1"/>
  <c r="L43" i="1" a="1"/>
  <c r="L43" i="1" s="1"/>
  <c r="L44" i="1" a="1"/>
  <c r="L44" i="1"/>
  <c r="L45" i="1" a="1"/>
  <c r="L45" i="1"/>
  <c r="L46" i="1" a="1"/>
  <c r="L46" i="1"/>
  <c r="L47" i="1" a="1"/>
  <c r="L47" i="1"/>
  <c r="L48" i="1" a="1"/>
  <c r="L48" i="1"/>
  <c r="L49" i="1" a="1"/>
  <c r="L49" i="1"/>
  <c r="L50" i="1" a="1"/>
  <c r="L50" i="1"/>
  <c r="L51" i="1" a="1"/>
  <c r="L51" i="1" s="1"/>
  <c r="L52" i="1" a="1"/>
  <c r="L52" i="1" s="1"/>
  <c r="L53" i="1" a="1"/>
  <c r="L53" i="1" s="1"/>
  <c r="L54" i="1" a="1"/>
  <c r="L54" i="1" s="1"/>
  <c r="L55" i="1" a="1"/>
  <c r="L55" i="1" s="1"/>
  <c r="L56" i="1" a="1"/>
  <c r="L56" i="1" s="1"/>
  <c r="L57" i="1" a="1"/>
  <c r="L57" i="1"/>
  <c r="L58" i="1" a="1"/>
  <c r="L58" i="1" s="1"/>
  <c r="L59" i="1" a="1"/>
  <c r="L59" i="1"/>
  <c r="L60" i="1" a="1"/>
  <c r="L60" i="1"/>
  <c r="L61" i="1" a="1"/>
  <c r="L61" i="1"/>
  <c r="L62" i="1" a="1"/>
  <c r="L62" i="1" s="1"/>
  <c r="L63" i="1" a="1"/>
  <c r="L63" i="1" s="1"/>
  <c r="L64" i="1" a="1"/>
  <c r="L64" i="1"/>
  <c r="L65" i="1" a="1"/>
  <c r="L65" i="1" s="1"/>
  <c r="L66" i="1" a="1"/>
  <c r="L66" i="1" s="1"/>
  <c r="L67" i="1" a="1"/>
  <c r="L67" i="1" s="1"/>
  <c r="L68" i="1" a="1"/>
  <c r="L68" i="1"/>
  <c r="L69" i="1" a="1"/>
  <c r="L69" i="1"/>
  <c r="L70" i="1" a="1"/>
  <c r="L70" i="1"/>
  <c r="L71" i="1" a="1"/>
  <c r="L71" i="1"/>
  <c r="L72" i="1" a="1"/>
  <c r="L72" i="1"/>
  <c r="L73" i="1" a="1"/>
  <c r="L73" i="1"/>
  <c r="L74" i="1" a="1"/>
  <c r="L74" i="1"/>
  <c r="L75" i="1" a="1"/>
  <c r="L75" i="1" s="1"/>
  <c r="L76" i="1" a="1"/>
  <c r="L76" i="1"/>
  <c r="L77" i="1" a="1"/>
  <c r="L77" i="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c r="L92" i="1" a="1"/>
  <c r="L92" i="1"/>
  <c r="L93" i="1" a="1"/>
  <c r="L93" i="1"/>
  <c r="L94" i="1" a="1"/>
  <c r="L94" i="1" s="1"/>
  <c r="L95" i="1" a="1"/>
  <c r="L95" i="1"/>
  <c r="L96" i="1" a="1"/>
  <c r="L96" i="1"/>
  <c r="L97" i="1" a="1"/>
  <c r="L97" i="1" s="1"/>
  <c r="L98" i="1" a="1"/>
  <c r="L98" i="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c r="L112" i="1" a="1"/>
  <c r="L112" i="1"/>
  <c r="L113" i="1" a="1"/>
  <c r="L113" i="1"/>
  <c r="L114" i="1" a="1"/>
  <c r="L114" i="1"/>
  <c r="L115" i="1" a="1"/>
  <c r="L115" i="1"/>
  <c r="L116" i="1" a="1"/>
  <c r="L116" i="1"/>
  <c r="L117" i="1" a="1"/>
  <c r="L117" i="1"/>
  <c r="L118" i="1" a="1"/>
  <c r="L118" i="1"/>
  <c r="L119" i="1" a="1"/>
  <c r="L119" i="1"/>
  <c r="L120" i="1" a="1"/>
  <c r="L120" i="1"/>
  <c r="L121" i="1" a="1"/>
  <c r="L121" i="1" s="1"/>
  <c r="L122" i="1" a="1"/>
  <c r="L122" i="1" s="1"/>
  <c r="L123" i="1" a="1"/>
  <c r="L123" i="1"/>
  <c r="L124" i="1" a="1"/>
  <c r="L124" i="1" s="1"/>
  <c r="L125" i="1" a="1"/>
  <c r="L125" i="1"/>
  <c r="L126" i="1" a="1"/>
  <c r="L126" i="1"/>
  <c r="L127" i="1" a="1"/>
  <c r="L127" i="1" s="1"/>
  <c r="L128" i="1" a="1"/>
  <c r="L128" i="1"/>
  <c r="L129" i="1" a="1"/>
  <c r="L129" i="1"/>
  <c r="L130" i="1" a="1"/>
  <c r="L130" i="1" s="1"/>
  <c r="L131" i="1" a="1"/>
  <c r="L131" i="1" s="1"/>
  <c r="L132" i="1" a="1"/>
  <c r="L132" i="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c r="L147" i="1" a="1"/>
  <c r="L147" i="1"/>
  <c r="L148" i="1" a="1"/>
  <c r="L148" i="1"/>
  <c r="L149" i="1" a="1"/>
  <c r="L149" i="1" s="1"/>
  <c r="L150" i="1" a="1"/>
  <c r="L150" i="1" s="1"/>
  <c r="L2" i="1" a="1"/>
  <c r="L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c r="M24" i="1" a="1"/>
  <c r="M24" i="1"/>
  <c r="M25" i="1" a="1"/>
  <c r="M25" i="1" s="1"/>
  <c r="M26" i="1" a="1"/>
  <c r="M26" i="1" s="1"/>
  <c r="M27" i="1" a="1"/>
  <c r="M27" i="1"/>
  <c r="M28" i="1" a="1"/>
  <c r="M28" i="1" s="1"/>
  <c r="M29" i="1" a="1"/>
  <c r="M29" i="1" s="1"/>
  <c r="M30" i="1" a="1"/>
  <c r="M30" i="1"/>
  <c r="M31" i="1" a="1"/>
  <c r="M31" i="1" s="1"/>
  <c r="M32" i="1" a="1"/>
  <c r="M32" i="1"/>
  <c r="M33" i="1" a="1"/>
  <c r="M33" i="1" s="1"/>
  <c r="M34" i="1" a="1"/>
  <c r="M34" i="1" s="1"/>
  <c r="M35" i="1" a="1"/>
  <c r="M35" i="1" s="1"/>
  <c r="M36" i="1" a="1"/>
  <c r="M36" i="1"/>
  <c r="M37" i="1" a="1"/>
  <c r="M37" i="1" s="1"/>
  <c r="M38" i="1" a="1"/>
  <c r="M38" i="1" s="1"/>
  <c r="M39" i="1" a="1"/>
  <c r="M39" i="1"/>
  <c r="M40" i="1" a="1"/>
  <c r="M40" i="1"/>
  <c r="M41" i="1" a="1"/>
  <c r="M41" i="1"/>
  <c r="M42" i="1" a="1"/>
  <c r="M42" i="1"/>
  <c r="M43" i="1" a="1"/>
  <c r="M43" i="1"/>
  <c r="M44" i="1" a="1"/>
  <c r="M44" i="1"/>
  <c r="M45" i="1" a="1"/>
  <c r="M45" i="1" s="1"/>
  <c r="M46" i="1" a="1"/>
  <c r="M46" i="1" s="1"/>
  <c r="M47" i="1" a="1"/>
  <c r="M47" i="1"/>
  <c r="M48" i="1" a="1"/>
  <c r="M48" i="1"/>
  <c r="M49" i="1" a="1"/>
  <c r="M49" i="1" s="1"/>
  <c r="M50" i="1" a="1"/>
  <c r="M50" i="1" s="1"/>
  <c r="M51" i="1" a="1"/>
  <c r="M51" i="1" s="1"/>
  <c r="M52" i="1" a="1"/>
  <c r="M52" i="1" s="1"/>
  <c r="M53" i="1" a="1"/>
  <c r="M53" i="1" s="1"/>
  <c r="M54" i="1" a="1"/>
  <c r="M54" i="1"/>
  <c r="M55" i="1" a="1"/>
  <c r="M55" i="1"/>
  <c r="M56" i="1" a="1"/>
  <c r="M56" i="1"/>
  <c r="M57" i="1" a="1"/>
  <c r="M57" i="1"/>
  <c r="M58" i="1" a="1"/>
  <c r="M58" i="1"/>
  <c r="M59" i="1" a="1"/>
  <c r="M59" i="1" s="1"/>
  <c r="M60" i="1" a="1"/>
  <c r="M60" i="1"/>
  <c r="M61" i="1" a="1"/>
  <c r="M61" i="1"/>
  <c r="M62" i="1" a="1"/>
  <c r="M62" i="1"/>
  <c r="M63" i="1" a="1"/>
  <c r="M63" i="1"/>
  <c r="M64" i="1" a="1"/>
  <c r="M64" i="1" s="1"/>
  <c r="M65" i="1" a="1"/>
  <c r="M65" i="1" s="1"/>
  <c r="M66" i="1" a="1"/>
  <c r="M66" i="1" s="1"/>
  <c r="M67" i="1" a="1"/>
  <c r="M67" i="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c r="M80" i="1" a="1"/>
  <c r="M80" i="1" s="1"/>
  <c r="M81" i="1" a="1"/>
  <c r="M81" i="1" s="1"/>
  <c r="M82" i="1" a="1"/>
  <c r="M82" i="1" s="1"/>
  <c r="M83" i="1" a="1"/>
  <c r="M83" i="1" s="1"/>
  <c r="M84" i="1" a="1"/>
  <c r="M84" i="1" s="1"/>
  <c r="M85" i="1" a="1"/>
  <c r="M85" i="1" s="1"/>
  <c r="M86" i="1" a="1"/>
  <c r="M86" i="1" s="1"/>
  <c r="M87" i="1" a="1"/>
  <c r="M87" i="1"/>
  <c r="M88" i="1" a="1"/>
  <c r="M88" i="1"/>
  <c r="M89" i="1" a="1"/>
  <c r="M89" i="1" s="1"/>
  <c r="M90" i="1" a="1"/>
  <c r="M90" i="1" s="1"/>
  <c r="M91" i="1" a="1"/>
  <c r="M91" i="1" s="1"/>
  <c r="M92" i="1" a="1"/>
  <c r="M92" i="1" s="1"/>
  <c r="M93" i="1" a="1"/>
  <c r="M93" i="1" s="1"/>
  <c r="M94" i="1" a="1"/>
  <c r="M94" i="1"/>
  <c r="M95" i="1" a="1"/>
  <c r="M95" i="1"/>
  <c r="M96" i="1" a="1"/>
  <c r="M96" i="1"/>
  <c r="M97" i="1" a="1"/>
  <c r="M97" i="1"/>
  <c r="M98" i="1" a="1"/>
  <c r="M98" i="1"/>
  <c r="M99" i="1" a="1"/>
  <c r="M99" i="1" s="1"/>
  <c r="M100" i="1" a="1"/>
  <c r="M100" i="1" s="1"/>
  <c r="M101" i="1" a="1"/>
  <c r="M101" i="1" s="1"/>
  <c r="M102" i="1" a="1"/>
  <c r="M102" i="1"/>
  <c r="M103" i="1" a="1"/>
  <c r="M103" i="1"/>
  <c r="M104" i="1" a="1"/>
  <c r="M104" i="1" s="1"/>
  <c r="M105" i="1" a="1"/>
  <c r="M105" i="1"/>
  <c r="M106" i="1" a="1"/>
  <c r="M106" i="1"/>
  <c r="M107" i="1" a="1"/>
  <c r="M107" i="1" s="1"/>
  <c r="M108" i="1" a="1"/>
  <c r="M108" i="1"/>
  <c r="M109" i="1" a="1"/>
  <c r="M109" i="1" s="1"/>
  <c r="M110" i="1" a="1"/>
  <c r="M110" i="1"/>
  <c r="M111" i="1" a="1"/>
  <c r="M111" i="1"/>
  <c r="M112" i="1" a="1"/>
  <c r="M112" i="1"/>
  <c r="M113" i="1" a="1"/>
  <c r="M113" i="1"/>
  <c r="M114" i="1" a="1"/>
  <c r="M114" i="1"/>
  <c r="M115" i="1" a="1"/>
  <c r="M115" i="1"/>
  <c r="M116" i="1" a="1"/>
  <c r="M116" i="1"/>
  <c r="M117" i="1" a="1"/>
  <c r="M117" i="1"/>
  <c r="M118" i="1" a="1"/>
  <c r="M118" i="1" s="1"/>
  <c r="M119" i="1" a="1"/>
  <c r="M119" i="1"/>
  <c r="M120" i="1" a="1"/>
  <c r="M120" i="1"/>
  <c r="M121" i="1" a="1"/>
  <c r="M121" i="1"/>
  <c r="M122" i="1" a="1"/>
  <c r="M122" i="1"/>
  <c r="M123" i="1" a="1"/>
  <c r="M123" i="1"/>
  <c r="M124" i="1" a="1"/>
  <c r="M124" i="1" s="1"/>
  <c r="M125" i="1" a="1"/>
  <c r="M125" i="1" s="1"/>
  <c r="M126" i="1" a="1"/>
  <c r="M126" i="1" s="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s="1"/>
  <c r="M141" i="1" a="1"/>
  <c r="M141" i="1"/>
  <c r="M142" i="1" a="1"/>
  <c r="M142" i="1"/>
  <c r="M143" i="1" a="1"/>
  <c r="M143" i="1" s="1"/>
  <c r="M144" i="1" a="1"/>
  <c r="M144" i="1"/>
  <c r="M145" i="1" a="1"/>
  <c r="M145" i="1" s="1"/>
  <c r="M146" i="1" a="1"/>
  <c r="M146" i="1"/>
  <c r="M147" i="1" a="1"/>
  <c r="M147" i="1"/>
  <c r="M148" i="1" a="1"/>
  <c r="M148" i="1"/>
  <c r="M149" i="1" a="1"/>
  <c r="M149" i="1"/>
  <c r="M150" i="1" a="1"/>
  <c r="M150" i="1"/>
  <c r="M2" i="1" a="1"/>
  <c r="M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2"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116BC-F5ED-46A9-ABCA-9BD0EEBD4E54}" keepAlive="1" name="Query - Table35" description="Connection to the 'Table35' query in the workbook." type="5" refreshedVersion="0" background="1" saveData="1">
    <dbPr connection="Provider=Microsoft.Mashup.OleDb.1;Data Source=$Workbook$;Location=Table35;Extended Properties=&quot;&quot;" command="SELECT * FROM [Table35]"/>
  </connection>
  <connection id="2" xr16:uid="{941586B8-D02B-411B-BD75-ACDCEAD934E7}" keepAlive="1" name="Query - Table35 (2)" description="Connection to the 'Table35 (2)' query in the workbook." type="5" refreshedVersion="8" background="1" saveData="1">
    <dbPr connection="Provider=Microsoft.Mashup.OleDb.1;Data Source=$Workbook$;Location=&quot;Table35 (2)&quot;;Extended Properties=&quot;&quot;" command="SELECT * FROM [Table35 (2)]"/>
  </connection>
  <connection id="3" xr16:uid="{05D8BFD6-1872-40E5-8F11-7415D80FE121}" keepAlive="1" name="Query - Table35 (3)" description="Connection to the 'Table35 (3)' query in the workbook." type="5" refreshedVersion="8" background="1" saveData="1">
    <dbPr connection="Provider=Microsoft.Mashup.OleDb.1;Data Source=$Workbook$;Location=&quot;Table35 (3)&quot;;Extended Properties=&quot;&quot;" command="SELECT * FROM [Table35 (3)]"/>
  </connection>
  <connection id="4" xr16:uid="{FAAB9E0B-F65F-4798-BB55-D8FC9A3EF483}" keepAlive="1" name="Query - Table35 (4)" description="Connection to the 'Table35 (4)' query in the workbook." type="5" refreshedVersion="8" background="1" saveData="1">
    <dbPr connection="Provider=Microsoft.Mashup.OleDb.1;Data Source=$Workbook$;Location=&quot;Table35 (4)&quot;;Extended Properties=&quot;&quot;" command="SELECT * FROM [Table35 (4)]"/>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<sst xmlns="http://schemas.openxmlformats.org/spreadsheetml/2006/main" count="3546" uniqueCount="307">
  <si>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</si>
  <si>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</si>
  <si>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</si>
  <si>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</si>
  <si>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</si>
  <si>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</si>
  <si>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</si>
  <si>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</si>
  <si>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</si>
  <si>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</si>
  <si>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</si>
  <si>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</si>
  <si>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</si>
  <si>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</si>
  <si>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</si>
  <si>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</si>
  <si>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</si>
  <si>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</si>
  <si>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</si>
  <si>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</si>
  <si>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</si>
  <si>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</si>
  <si>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</si>
  <si>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</si>
  <si>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</si>
  <si>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</si>
  <si>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</si>
  <si>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</si>
  <si>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</si>
  <si>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</si>
  <si>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</si>
  <si>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</si>
  <si>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</si>
  <si>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</si>
  <si>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</si>
  <si>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</si>
  <si>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</si>
  <si>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</si>
  <si>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</si>
  <si>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</si>
  <si>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</si>
  <si>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</si>
  <si>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</si>
  <si>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</si>
  <si>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</si>
  <si>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</si>
  <si>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</si>
  <si>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</si>
  <si>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</si>
  <si>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</si>
  <si>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</si>
  <si>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</si>
  <si>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</si>
  <si>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</si>
  <si>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</si>
  <si>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</si>
  <si>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</si>
  <si>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</si>
  <si>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</si>
  <si>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</si>
  <si>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</si>
  <si>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</si>
  <si>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</si>
  <si>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</si>
  <si>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</si>
  <si>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</si>
  <si>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</si>
  <si>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</si>
  <si>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</si>
  <si>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</si>
  <si>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</si>
  <si>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</si>
  <si>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</si>
  <si>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</si>
  <si>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</si>
  <si>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</si>
  <si>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</si>
  <si>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</si>
  <si>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</si>
  <si>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</si>
  <si>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</si>
  <si>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</si>
  <si>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</si>
  <si>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</si>
  <si>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</si>
  <si>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</si>
  <si>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</si>
  <si>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</si>
  <si>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</si>
  <si>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</si>
  <si>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</si>
  <si>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</si>
  <si>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</si>
  <si>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</si>
  <si>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</si>
  <si>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</si>
  <si>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</si>
  <si>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</si>
  <si>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</si>
  <si>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</si>
  <si>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</si>
  <si>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</si>
  <si>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</si>
  <si>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</si>
  <si>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</si>
  <si>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</si>
  <si>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</si>
  <si>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</si>
  <si>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</si>
  <si>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</si>
  <si>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</si>
  <si>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</si>
  <si>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</si>
  <si>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</si>
  <si>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</si>
  <si>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</si>
  <si>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</si>
  <si>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</si>
  <si>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</si>
  <si>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</si>
  <si>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</si>
  <si>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</si>
  <si>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</si>
  <si>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</si>
  <si>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</si>
  <si>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</si>
  <si>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</si>
  <si>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</si>
  <si>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</si>
  <si>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</si>
  <si>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</si>
  <si>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</si>
  <si>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</si>
  <si>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</si>
  <si>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</si>
  <si>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</si>
  <si>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</si>
  <si>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</si>
  <si>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</si>
  <si>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</si>
  <si>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</si>
  <si>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</si>
  <si>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</si>
  <si>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</si>
  <si>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</si>
  <si>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</si>
  <si>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</si>
  <si>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</si>
  <si>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</si>
  <si>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</si>
  <si>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</si>
  <si>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</si>
  <si>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</si>
  <si>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</si>
  <si>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</si>
  <si>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</si>
  <si>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</si>
  <si>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</si>
  <si>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</si>
  <si>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</si>
  <si>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</si>
  <si>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</si>
  <si>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</si>
  <si>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</si>
  <si>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</si>
  <si>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</si>
  <si>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</si>
  <si>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</si>
  <si>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</si>
  <si>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</si>
  <si>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</si>
  <si>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</si>
  <si>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</si>
  <si>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</si>
  <si>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</si>
  <si>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</si>
  <si>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</si>
  <si>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</si>
  <si>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</si>
  <si>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</si>
  <si>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</si>
  <si>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</si>
  <si>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</si>
  <si>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</si>
  <si>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</si>
  <si>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</si>
  <si>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</si>
  <si>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</si>
  <si>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</si>
  <si>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</si>
  <si>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</si>
  <si>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</si>
  <si>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</si>
  <si>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</si>
  <si>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</si>
  <si>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</si>
  <si>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</si>
  <si>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</si>
  <si>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</si>
  <si>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</si>
  <si>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</si>
  <si>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</si>
  <si>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</si>
  <si>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</si>
  <si>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</si>
  <si>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</si>
  <si>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</si>
  <si>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</si>
  <si>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</si>
  <si>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</si>
  <si>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</si>
  <si>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</si>
  <si>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</si>
  <si>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</si>
  <si>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</si>
  <si>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</si>
  <si>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</si>
  <si>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</si>
  <si>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</si>
  <si>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</si>
  <si>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</si>
  <si>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</si>
  <si>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</si>
  <si>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</si>
  <si>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</si>
  <si>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</si>
  <si>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</si>
  <si>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</si>
  <si>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</si>
  <si>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</si>
  <si>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</si>
  <si>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</si>
  <si>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</si>
  <si>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</si>
  <si>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</si>
  <si>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</si>
  <si>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</si>
  <si>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</si>
  <si>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</si>
  <si>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</si>
  <si>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</si>
  <si>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</si>
  <si>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</si>
  <si>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</si>
  <si>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</si>
  <si>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</si>
  <si>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</si>
  <si>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</si>
  <si>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</si>
  <si>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</si>
  <si>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</si>
  <si>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</si>
  <si>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</si>
  <si>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</si>
  <si>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</si>
  <si>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</si>
  <si>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</si>
  <si>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</si>
  <si>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</si>
  <si>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</si>
  <si>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</si>
  <si>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</si>
  <si>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</si>
  <si>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</si>
  <si>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</si>
  <si>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</si>
  <si>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</si>
  <si>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</si>
  <si>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</si>
  <si>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</si>
  <si>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</si>
  <si>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</si>
  <si>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</si>
  <si>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</si>
  <si>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</si>
  <si>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</si>
  <si>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</si>
  <si>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</si>
  <si>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</si>
  <si>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</si>
  <si>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</si>
  <si>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
  </si>
  <si>
    <t>Row Labels</t>
  </si>
  <si>
    <t>Grand Total</t>
  </si>
  <si>
    <t>Column Labels</t>
  </si>
  <si>
    <t>Sum of Salary</t>
  </si>
  <si>
    <t>Sum of Performance Rating</t>
  </si>
  <si>
    <t>2015</t>
  </si>
  <si>
    <t>2016</t>
  </si>
  <si>
    <t>2017</t>
  </si>
  <si>
    <t>Average of Salary</t>
  </si>
  <si>
    <t>Jan</t>
  </si>
  <si>
    <t>Feb</t>
  </si>
  <si>
    <t>Mar</t>
  </si>
  <si>
    <t>Apr</t>
  </si>
  <si>
    <t>May</t>
  </si>
  <si>
    <t>Jun</t>
  </si>
  <si>
    <t>Jul</t>
  </si>
  <si>
    <t>Aug</t>
  </si>
  <si>
    <t>Sep</t>
  </si>
  <si>
    <t>Oct</t>
  </si>
  <si>
    <t>Nov</t>
  </si>
  <si>
    <t>Dec</t>
  </si>
  <si>
    <t>Average Salary</t>
  </si>
  <si>
    <t>Total Performance</t>
  </si>
  <si>
    <t>Top Department</t>
  </si>
  <si>
    <t>Employee Salary &amp;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</si>
</sst>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dd/mm/yyyy;@"/>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249977111117893"/>
        <bgColor theme="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vertical="center"/>
    </xf>
    <xf numFmtId="14" fontId="0" fillId="0" borderId="0" xfId="0" applyNumberFormat="1" applyAlignment="1">
      <alignment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2"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1" fontId="0" fillId="0" borderId="1" xfId="0" applyNumberFormat="1" applyBorder="1" applyAlignment="1">
      <alignment horizontal="center" vertical="center"/>
    </xf>
    <xf numFmtId="0" fontId="1" fillId="0" borderId="1" xfId="0" applyFont="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2" fillId="2" borderId="3" xfId="0" applyFont="1" applyFill="1" applyBorder="1" applyAlignment="1">
      <alignment horizontal="center" vertical="center"/>
    </xf>
    <xf numFmtId="0" fontId="0" fillId="0" borderId="3" xfId="0" applyBorder="1" applyAlignment="1">
      <alignment horizontal="center" vertical="center"/>
    </xf>
    <xf numFmtId="0" fontId="1" fillId="0" borderId="1" xfId="0" applyFont="1" applyBorder="1"/>
    <xf numFmtId="1" fontId="1" fillId="0" borderId="1" xfId="0" applyNumberFormat="1" applyFont="1" applyBorder="1" applyAlignment="1">
      <alignment horizontal="center" vertical="center"/>
    </xf>
    <xf numFmtId="0" fontId="1" fillId="3" borderId="0" xfId="0" applyFont="1" applyFill="1" applyAlignment="1">
      <alignment horizontal="center" vertical="center"/>
    </xf>
  </cellXfs>
  <cellStyles count="1">
    <cellStyle name="Normal" xfId="0" builtinId="0"/>
  </cellStyles>
  <dxfs count="40">
    <dxf>
      <fill>
        <patternFill>
          <bgColor rgb="FFFFFF00"/>
        </patternFill>
      </fill>
      <border>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theme="9"/>
        </left>
        <right style="thin">
          <color auto="1"/>
        </right>
        <top style="thin">
          <color auto="1"/>
        </top>
        <bottom style="thin">
          <color auto="1"/>
        </bottom>
        <vertical/>
        <horizontal/>
      </border>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65"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Table!PivotTable24</c:name>
    <c:fmtId val="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Average Salary and Performance Rating</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19-Pivot Table'!$B$11</c:f>
              <c:strCache>
                <c:ptCount val="1"/>
                <c:pt idx="0">
                  <c:v>Average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19-Pivot Table'!$A$12:$A$17</c:f>
              <c:strCache>
                <c:ptCount val="5"/>
                <c:pt idx="0">
                  <c:v>Finance</c:v>
                </c:pt>
                <c:pt idx="1">
                  <c:v>HR</c:v>
                </c:pt>
                <c:pt idx="2">
                  <c:v>IT</c:v>
                </c:pt>
                <c:pt idx="3">
                  <c:v>Marketing</c:v>
                </c:pt>
                <c:pt idx="4">
                  <c:v>Sales</c:v>
                </c:pt>
              </c:strCache>
            </c:strRef>
          </c:cat>
          <c:val>
            <c:numRef>
              <c:f>'Task 19-Pivot Table'!$B$12:$B$17</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2BB8-4C64-ACF7-1B2E8EB591D7}"/>
            </c:ext>
          </c:extLst>
        </c:ser>
        <c:dLbls>
          <c:showLegendKey val="0"/>
          <c:showVal val="0"/>
          <c:showCatName val="0"/>
          <c:showSerName val="0"/>
          <c:showPercent val="0"/>
          <c:showBubbleSize val="0"/>
        </c:dLbls>
        <c:gapWidth val="219"/>
        <c:axId val="1453755967"/>
        <c:axId val="1453777087"/>
      </c:barChart>
      <c:lineChart>
        <c:grouping val="standard"/>
        <c:varyColors val="0"/>
        <c:ser>
          <c:idx val="1"/>
          <c:order val="1"/>
          <c:tx>
            <c:strRef>
              <c:f>'Task 19-Pivot Table'!$C$11</c:f>
              <c:strCache>
                <c:ptCount val="1"/>
                <c:pt idx="0">
                  <c:v>Sum of Performance Rating</c:v>
                </c:pt>
              </c:strCache>
            </c:strRef>
          </c:tx>
          <c:spPr>
            <a:ln w="28575" cap="rnd">
              <a:solidFill>
                <a:schemeClr val="accent2"/>
              </a:solidFill>
              <a:round/>
            </a:ln>
            <a:effectLst/>
          </c:spPr>
          <c:marker>
            <c:symbol val="none"/>
          </c:marker>
          <c:dLbls>
            <c:dLbl>
              <c:idx val="1"/>
              <c:layout>
                <c:manualLayout>
                  <c:x val="3.8730865770560488E-3"/>
                  <c:y val="4.5892019021699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B8-4C64-ACF7-1B2E8EB591D7}"/>
                </c:ext>
              </c:extLst>
            </c:dLbl>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'Task 19-Pivot Table'!$A$12:$A$17</c:f>
              <c:strCache>
                <c:ptCount val="5"/>
                <c:pt idx="0">
                  <c:v>Finance</c:v>
                </c:pt>
                <c:pt idx="1">
                  <c:v>HR</c:v>
                </c:pt>
                <c:pt idx="2">
                  <c:v>IT</c:v>
                </c:pt>
                <c:pt idx="3">
                  <c:v>Marketing</c:v>
                </c:pt>
                <c:pt idx="4">
                  <c:v>Sales</c:v>
                </c:pt>
              </c:strCache>
            </c:strRef>
          </c:cat>
          <c:val>
            <c:numRef>
              <c:f>'Task 19-Pivot Table'!$C$12:$C$17</c:f>
              <c:numCache>
                <c:formatCode>0</c:formatCode>
                <c:ptCount val="5"/>
                <c:pt idx="0">
                  <c:v>55.637096774193537</c:v>
                </c:pt>
                <c:pt idx="1">
                  <c:v>65.516129032258064</c:v>
                </c:pt>
                <c:pt idx="2">
                  <c:v>73.153225806451601</c:v>
                </c:pt>
                <c:pt idx="3">
                  <c:v>163.15322580645159</c:v>
                </c:pt>
                <c:pt idx="4">
                  <c:v>71.51612903225805</c:v>
                </c:pt>
              </c:numCache>
            </c:numRef>
          </c:val>
          <c:smooth val="0"/>
          <c:extLst>
            <c:ext xmlns:c16="http://schemas.microsoft.com/office/drawing/2014/chart" uri="{C3380CC4-5D6E-409C-BE32-E72D297353CC}">
              <c16:uniqueId val="{00000002-2BB8-4C64-ACF7-1B2E8EB591D7}"/>
            </c:ext>
          </c:extLst>
        </c:ser>
        <c:dLbls>
          <c:showLegendKey val="0"/>
          <c:showVal val="0"/>
          <c:showCatName val="0"/>
          <c:showSerName val="0"/>
          <c:showPercent val="0"/>
          <c:showBubbleSize val="0"/>
        </c:dLbls>
        <c:marker val="1"/>
        <c:smooth val="0"/>
        <c:axId val="1575782048"/>
        <c:axId val="1575770048"/>
      </c:line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55967"/>
        <c:crosses val="autoZero"/>
        <c:crossBetween val="between"/>
      </c:valAx>
      <c:valAx>
        <c:axId val="15757700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82048"/>
        <c:crosses val="max"/>
        <c:crossBetween val="between"/>
      </c:valAx>
      <c:catAx>
        <c:axId val="1575782048"/>
        <c:scaling>
          <c:orientation val="minMax"/>
        </c:scaling>
        <c:delete val="1"/>
        <c:axPos val="b"/>
        <c:numFmt formatCode="General" sourceLinked="1"/>
        <c:majorTickMark val="out"/>
        <c:minorTickMark val="none"/>
        <c:tickLblPos val="nextTo"/>
        <c:crossAx val="1575770048"/>
        <c:crosses val="autoZero"/>
        <c:auto val="1"/>
        <c:lblAlgn val="ctr"/>
        <c:lblOffset val="100"/>
        <c:noMultiLvlLbl val="0"/>
      </c:catAx>
    </c:plotArea>
    <c:legend>
      <c:legendPos val="r"/>
      <c:layout>
        <c:manualLayout>
          <c:xMode val="edge"/>
          <c:yMode val="edge"/>
          <c:x val="0.72830883198838203"/>
          <c:y val="0.41364029031133304"/>
          <c:w val="0.26801625874855367"/>
          <c:h val="0.37440808154487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Table!PivotTable4</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19-Pivot Table'!$B$23</c:f>
              <c:strCache>
                <c:ptCount val="1"/>
                <c:pt idx="0">
                  <c:v>Total</c:v>
                </c:pt>
              </c:strCache>
            </c:strRef>
          </c:tx>
          <c:spPr>
            <a:ln w="28575" cap="rnd">
              <a:solidFill>
                <a:schemeClr val="accent1"/>
              </a:solidFill>
              <a:round/>
            </a:ln>
            <a:effectLst/>
          </c:spPr>
          <c:marker>
            <c:symbol val="none"/>
          </c:marker>
          <c:cat>
            <c:strRef>
              <c:f>'Task 19-Pivot Table'!$A$24:$A$36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19-Pivot Table'!$B$24:$B$36</c:f>
              <c:numCache>
                <c:formatCode>0</c:formatCode>
                <c:ptCount val="12"/>
                <c:pt idx="0">
                  <c:v>28.879032258064516</c:v>
                </c:pt>
                <c:pt idx="1">
                  <c:v>25.758064516129032</c:v>
                </c:pt>
                <c:pt idx="2">
                  <c:v>40.758064516129032</c:v>
                </c:pt>
                <c:pt idx="3">
                  <c:v>32.758064516129032</c:v>
                </c:pt>
                <c:pt idx="4">
                  <c:v>44.758064516129032</c:v>
                </c:pt>
                <c:pt idx="5">
                  <c:v>51.637096774193552</c:v>
                </c:pt>
                <c:pt idx="6">
                  <c:v>30</c:v>
                </c:pt>
                <c:pt idx="7">
                  <c:v>41.637096774193552</c:v>
                </c:pt>
                <c:pt idx="8">
                  <c:v>41.758064516129032</c:v>
                </c:pt>
                <c:pt idx="9">
                  <c:v>35.516129032258064</c:v>
                </c:pt>
                <c:pt idx="10">
                  <c:v>30.758064516129032</c:v>
                </c:pt>
                <c:pt idx="11">
                  <c:v>24.758064516129032</c:v>
                </c:pt>
              </c:numCache>
            </c:numRef>
          </c:val>
          <c:smooth val="0"/>
          <c:extLst>
            <c:ext xmlns:c16="http://schemas.microsoft.com/office/drawing/2014/chart" uri="{C3380CC4-5D6E-409C-BE32-E72D297353CC}">
              <c16:uniqueId val="{00000000-56C1-448A-8FF5-689164B9DE95}"/>
            </c:ext>
          </c:extLst>
        </c:ser>
        <c:dLbls>
          <c:showLegendKey val="0"/>
          <c:showVal val="0"/>
          <c:showCatName val="0"/>
          <c:showSerName val="0"/>
          <c:showPercent val="0"/>
          <c:showBubbleSize val="0"/>
        </c:dLbls>
        <c:smooth val="0"/>
        <c:axId val="755608496"/>
        <c:axId val="755610896"/>
      </c:lineChart>
      <c:catAx>
        <c:axId val="7556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10896"/>
        <c:crosses val="autoZero"/>
        <c:auto val="1"/>
        <c:lblAlgn val="ctr"/>
        <c:lblOffset val="100"/>
        <c:noMultiLvlLbl val="0"/>
      </c:catAx>
      <c:valAx>
        <c:axId val="755610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0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Table!PivotTable5</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19-Pivot Table'!$B$41:$B$42</c:f>
              <c:strCache>
                <c:ptCount val="1"/>
                <c:pt idx="0">
                  <c:v>2015</c:v>
                </c:pt>
              </c:strCache>
            </c:strRef>
          </c:tx>
          <c:spPr>
            <a:solidFill>
              <a:schemeClr val="accent1"/>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Table'!$B$43:$B$48</c:f>
              <c:numCache>
                <c:formatCode>0</c:formatCode>
                <c:ptCount val="5"/>
                <c:pt idx="0">
                  <c:v>519835</c:v>
                </c:pt>
                <c:pt idx="1">
                  <c:v>917311.92957746482</c:v>
                </c:pt>
                <c:pt idx="2">
                  <c:v>617811</c:v>
                </c:pt>
                <c:pt idx="3">
                  <c:v>739232</c:v>
                </c:pt>
                <c:pt idx="4">
                  <c:v>518155</c:v>
                </c:pt>
              </c:numCache>
            </c:numRef>
          </c:val>
          <c:extLst>
            <c:ext xmlns:c16="http://schemas.microsoft.com/office/drawing/2014/chart" uri="{C3380CC4-5D6E-409C-BE32-E72D297353CC}">
              <c16:uniqueId val="{00000000-893F-4602-BC38-AB17EDA81476}"/>
            </c:ext>
          </c:extLst>
        </c:ser>
        <c:ser>
          <c:idx val="1"/>
          <c:order val="1"/>
          <c:tx>
            <c:strRef>
              <c:f>'Task 19-Pivot Table'!$C$41:$C$42</c:f>
              <c:strCache>
                <c:ptCount val="1"/>
                <c:pt idx="0">
                  <c:v>2016</c:v>
                </c:pt>
              </c:strCache>
            </c:strRef>
          </c:tx>
          <c:spPr>
            <a:solidFill>
              <a:schemeClr val="accent2"/>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Table'!$C$43:$C$48</c:f>
              <c:numCache>
                <c:formatCode>0</c:formatCode>
                <c:ptCount val="5"/>
                <c:pt idx="0">
                  <c:v>537899.92957746482</c:v>
                </c:pt>
                <c:pt idx="1">
                  <c:v>292693</c:v>
                </c:pt>
                <c:pt idx="2">
                  <c:v>733303.92957746482</c:v>
                </c:pt>
                <c:pt idx="3">
                  <c:v>1502215.7887323943</c:v>
                </c:pt>
                <c:pt idx="4">
                  <c:v>720051</c:v>
                </c:pt>
              </c:numCache>
            </c:numRef>
          </c:val>
          <c:extLst>
            <c:ext xmlns:c16="http://schemas.microsoft.com/office/drawing/2014/chart" uri="{C3380CC4-5D6E-409C-BE32-E72D297353CC}">
              <c16:uniqueId val="{00000001-893F-4602-BC38-AB17EDA81476}"/>
            </c:ext>
          </c:extLst>
        </c:ser>
        <c:ser>
          <c:idx val="2"/>
          <c:order val="2"/>
          <c:tx>
            <c:strRef>
              <c:f>'Task 19-Pivot Table'!$D$41:$D$42</c:f>
              <c:strCache>
                <c:ptCount val="1"/>
                <c:pt idx="0">
                  <c:v>2017</c:v>
                </c:pt>
              </c:strCache>
            </c:strRef>
          </c:tx>
          <c:spPr>
            <a:solidFill>
              <a:schemeClr val="accent3"/>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Table'!$D$43:$D$48</c:f>
              <c:numCache>
                <c:formatCode>0</c:formatCode>
                <c:ptCount val="5"/>
                <c:pt idx="0">
                  <c:v>320637</c:v>
                </c:pt>
                <c:pt idx="1">
                  <c:v>416471</c:v>
                </c:pt>
                <c:pt idx="2">
                  <c:v>302946</c:v>
                </c:pt>
                <c:pt idx="3">
                  <c:v>1210994</c:v>
                </c:pt>
                <c:pt idx="4">
                  <c:v>526301.92957746482</c:v>
                </c:pt>
              </c:numCache>
            </c:numRef>
          </c:val>
          <c:extLst>
            <c:ext xmlns:c16="http://schemas.microsoft.com/office/drawing/2014/chart" uri="{C3380CC4-5D6E-409C-BE32-E72D297353CC}">
              <c16:uniqueId val="{00000002-893F-4602-BC38-AB17EDA81476}"/>
            </c:ext>
          </c:extLst>
        </c:ser>
        <c:dLbls>
          <c:showLegendKey val="0"/>
          <c:showVal val="0"/>
          <c:showCatName val="0"/>
          <c:showSerName val="0"/>
          <c:showPercent val="0"/>
          <c:showBubbleSize val="0"/>
        </c:dLbls>
        <c:gapWidth val="219"/>
        <c:overlap val="-27"/>
        <c:axId val="767427424"/>
        <c:axId val="767428384"/>
      </c:barChart>
      <c:catAx>
        <c:axId val="76742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28384"/>
        <c:crosses val="autoZero"/>
        <c:auto val="1"/>
        <c:lblAlgn val="ctr"/>
        <c:lblOffset val="100"/>
        <c:noMultiLvlLbl val="0"/>
      </c:catAx>
      <c:valAx>
        <c:axId val="76742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2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Table!PivotTable24</c:name>
    <c:fmtId val="3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i="0" u="none" strike="noStrike" kern="1200" spc="0" baseline="0">
                <a:solidFill>
                  <a:schemeClr val="tx1"/>
                </a:solidFill>
              </a:rPr>
              <a:t>Average Salary and Performance Rating</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4.1541668064963878E-2"/>
              <c:y val="4.5891974821198819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441165059664712E-2"/>
                  <c:h val="8.5717900287865911E-2"/>
                </c:manualLayout>
              </c15:layout>
            </c:ext>
          </c:extLst>
        </c:dLbl>
      </c:pivotFmt>
      <c:pivotFmt>
        <c:idx val="31"/>
        <c:dLbl>
          <c:idx val="0"/>
          <c:layout>
            <c:manualLayout>
              <c:x val="-5.24546143677182E-2"/>
              <c:y val="-5.0737198623037709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6442511532442974E-2"/>
              <c:y val="-1.0335235881536393E-16"/>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794760594095683E-2"/>
              <c:y val="1.14613180515759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3973802970478415E-2"/>
              <c:y val="1.050608684673283E-16"/>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2539463615023"/>
          <c:y val="0.31048710601719198"/>
          <c:w val="0.46538375418870248"/>
          <c:h val="0.42199851093111929"/>
        </c:manualLayout>
      </c:layout>
      <c:barChart>
        <c:barDir val="col"/>
        <c:grouping val="clustered"/>
        <c:varyColors val="0"/>
        <c:ser>
          <c:idx val="0"/>
          <c:order val="0"/>
          <c:tx>
            <c:strRef>
              <c:f>'Task 19-Pivot Table'!$B$11</c:f>
              <c:strCache>
                <c:ptCount val="1"/>
                <c:pt idx="0">
                  <c:v>Average of Salary</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19-Pivot Table'!$A$12:$A$17</c:f>
              <c:strCache>
                <c:ptCount val="5"/>
                <c:pt idx="0">
                  <c:v>Finance</c:v>
                </c:pt>
                <c:pt idx="1">
                  <c:v>HR</c:v>
                </c:pt>
                <c:pt idx="2">
                  <c:v>IT</c:v>
                </c:pt>
                <c:pt idx="3">
                  <c:v>Marketing</c:v>
                </c:pt>
                <c:pt idx="4">
                  <c:v>Sales</c:v>
                </c:pt>
              </c:strCache>
            </c:strRef>
          </c:cat>
          <c:val>
            <c:numRef>
              <c:f>'Task 19-Pivot Table'!$B$12:$B$17</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ADFD-499B-9405-0510128363B6}"/>
            </c:ext>
          </c:extLst>
        </c:ser>
        <c:dLbls>
          <c:showLegendKey val="0"/>
          <c:showVal val="0"/>
          <c:showCatName val="0"/>
          <c:showSerName val="0"/>
          <c:showPercent val="0"/>
          <c:showBubbleSize val="0"/>
        </c:dLbls>
        <c:gapWidth val="219"/>
        <c:axId val="1453755967"/>
        <c:axId val="1453777087"/>
      </c:barChart>
      <c:lineChart>
        <c:grouping val="standard"/>
        <c:varyColors val="0"/>
        <c:ser>
          <c:idx val="1"/>
          <c:order val="1"/>
          <c:tx>
            <c:strRef>
              <c:f>'Task 19-Pivot Table'!$C$11</c:f>
              <c:strCache>
                <c:ptCount val="1"/>
                <c:pt idx="0">
                  <c:v>Sum of Performance Rating</c:v>
                </c:pt>
              </c:strCache>
            </c:strRef>
          </c:tx>
          <c:spPr>
            <a:ln w="28575" cap="rnd">
              <a:solidFill>
                <a:schemeClr val="accent2"/>
              </a:solidFill>
              <a:round/>
            </a:ln>
            <a:effectLst/>
          </c:spPr>
          <c:marker>
            <c:symbol val="none"/>
          </c:marker>
          <c:dLbls>
            <c:dLbl>
              <c:idx val="0"/>
              <c:layout>
                <c:manualLayout>
                  <c:x val="-6.6442511532442974E-2"/>
                  <c:y val="-1.033523588153639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FD-499B-9405-0510128363B6}"/>
                </c:ext>
              </c:extLst>
            </c:dLbl>
            <c:dLbl>
              <c:idx val="1"/>
              <c:layout>
                <c:manualLayout>
                  <c:x val="-4.1541668064963878E-2"/>
                  <c:y val="4.5891974821198819E-2"/>
                </c:manualLayout>
              </c:layout>
              <c:showLegendKey val="0"/>
              <c:showVal val="1"/>
              <c:showCatName val="0"/>
              <c:showSerName val="0"/>
              <c:showPercent val="0"/>
              <c:showBubbleSize val="0"/>
              <c:extLst>
                <c:ext xmlns:c15="http://schemas.microsoft.com/office/drawing/2012/chart" uri="{CE6537A1-D6FC-4f65-9D91-7224C49458BB}">
                  <c15:layout>
                    <c:manualLayout>
                      <c:w val="5.6441165059664712E-2"/>
                      <c:h val="8.5717900287865911E-2"/>
                    </c:manualLayout>
                  </c15:layout>
                </c:ext>
                <c:ext xmlns:c16="http://schemas.microsoft.com/office/drawing/2014/chart" uri="{C3380CC4-5D6E-409C-BE32-E72D297353CC}">
                  <c16:uniqueId val="{00000001-ADFD-499B-9405-0510128363B6}"/>
                </c:ext>
              </c:extLst>
            </c:dLbl>
            <c:dLbl>
              <c:idx val="2"/>
              <c:layout>
                <c:manualLayout>
                  <c:x val="-2.794760594095683E-2"/>
                  <c:y val="1.1461318051575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FD-499B-9405-0510128363B6}"/>
                </c:ext>
              </c:extLst>
            </c:dLbl>
            <c:dLbl>
              <c:idx val="3"/>
              <c:layout>
                <c:manualLayout>
                  <c:x val="-5.24546143677182E-2"/>
                  <c:y val="-5.07371986230377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FD-499B-9405-0510128363B6}"/>
                </c:ext>
              </c:extLst>
            </c:dLbl>
            <c:dLbl>
              <c:idx val="4"/>
              <c:layout>
                <c:manualLayout>
                  <c:x val="-1.3973802970478415E-2"/>
                  <c:y val="1.05060868467328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FD-499B-9405-0510128363B6}"/>
                </c:ext>
              </c:extLst>
            </c:dLbl>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'Task 19-Pivot Table'!$A$12:$A$17</c:f>
              <c:strCache>
                <c:ptCount val="5"/>
                <c:pt idx="0">
                  <c:v>Finance</c:v>
                </c:pt>
                <c:pt idx="1">
                  <c:v>HR</c:v>
                </c:pt>
                <c:pt idx="2">
                  <c:v>IT</c:v>
                </c:pt>
                <c:pt idx="3">
                  <c:v>Marketing</c:v>
                </c:pt>
                <c:pt idx="4">
                  <c:v>Sales</c:v>
                </c:pt>
              </c:strCache>
            </c:strRef>
          </c:cat>
          <c:val>
            <c:numRef>
              <c:f>'Task 19-Pivot Table'!$C$12:$C$17</c:f>
              <c:numCache>
                <c:formatCode>0</c:formatCode>
                <c:ptCount val="5"/>
                <c:pt idx="0">
                  <c:v>55.637096774193537</c:v>
                </c:pt>
                <c:pt idx="1">
                  <c:v>65.516129032258064</c:v>
                </c:pt>
                <c:pt idx="2">
                  <c:v>73.153225806451601</c:v>
                </c:pt>
                <c:pt idx="3">
                  <c:v>163.15322580645159</c:v>
                </c:pt>
                <c:pt idx="4">
                  <c:v>71.51612903225805</c:v>
                </c:pt>
              </c:numCache>
            </c:numRef>
          </c:val>
          <c:smooth val="0"/>
          <c:extLst>
            <c:ext xmlns:c16="http://schemas.microsoft.com/office/drawing/2014/chart" uri="{C3380CC4-5D6E-409C-BE32-E72D297353CC}">
              <c16:uniqueId val="{00000002-ADFD-499B-9405-0510128363B6}"/>
            </c:ext>
          </c:extLst>
        </c:ser>
        <c:dLbls>
          <c:showLegendKey val="0"/>
          <c:showVal val="0"/>
          <c:showCatName val="0"/>
          <c:showSerName val="0"/>
          <c:showPercent val="0"/>
          <c:showBubbleSize val="0"/>
        </c:dLbls>
        <c:marker val="1"/>
        <c:smooth val="0"/>
        <c:axId val="1575782048"/>
        <c:axId val="1575770048"/>
      </c:line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55967"/>
        <c:crosses val="autoZero"/>
        <c:crossBetween val="between"/>
      </c:valAx>
      <c:valAx>
        <c:axId val="15757700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82048"/>
        <c:crosses val="max"/>
        <c:crossBetween val="between"/>
      </c:valAx>
      <c:catAx>
        <c:axId val="1575782048"/>
        <c:scaling>
          <c:orientation val="minMax"/>
        </c:scaling>
        <c:delete val="1"/>
        <c:axPos val="b"/>
        <c:numFmt formatCode="General" sourceLinked="1"/>
        <c:majorTickMark val="out"/>
        <c:minorTickMark val="none"/>
        <c:tickLblPos val="nextTo"/>
        <c:crossAx val="1575770048"/>
        <c:crosses val="autoZero"/>
        <c:auto val="1"/>
        <c:lblAlgn val="ctr"/>
        <c:lblOffset val="100"/>
        <c:noMultiLvlLbl val="0"/>
      </c:catAx>
    </c:plotArea>
    <c:legend>
      <c:legendPos val="r"/>
      <c:layout>
        <c:manualLayout>
          <c:xMode val="edge"/>
          <c:yMode val="edge"/>
          <c:x val="0.68840360873694206"/>
          <c:y val="0.39149919470293482"/>
          <c:w val="0.30792141500474834"/>
          <c:h val="0.33052210093056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3175">
      <a:solidFill>
        <a:srgbClr val="92D050"/>
      </a:solidFill>
    </a:ln>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Table!PivotTable4</c:name>
    <c:fmtId val="3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200" b="1"/>
              <a:t>Monthly Performance</a:t>
            </a:r>
            <a:r>
              <a:rPr lang="en-US" sz="1200" b="1" baseline="0"/>
              <a:t> Rating</a:t>
            </a:r>
            <a:endParaRPr lang="en-US" sz="1200"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19-Pivot Table'!$B$23</c:f>
              <c:strCache>
                <c:ptCount val="1"/>
                <c:pt idx="0">
                  <c:v>Total</c:v>
                </c:pt>
              </c:strCache>
            </c:strRef>
          </c:tx>
          <c:spPr>
            <a:ln w="28575" cap="rnd">
              <a:solidFill>
                <a:srgbClr val="92D050"/>
              </a:solidFill>
              <a:round/>
            </a:ln>
            <a:effectLst/>
          </c:spPr>
          <c:marker>
            <c:symbol val="none"/>
          </c:marker>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19-Pivot Table'!$A$24:$A$36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19-Pivot Table'!$B$24:$B$36</c:f>
              <c:numCache>
                <c:formatCode>0</c:formatCode>
                <c:ptCount val="12"/>
                <c:pt idx="0">
                  <c:v>28.879032258064516</c:v>
                </c:pt>
                <c:pt idx="1">
                  <c:v>25.758064516129032</c:v>
                </c:pt>
                <c:pt idx="2">
                  <c:v>40.758064516129032</c:v>
                </c:pt>
                <c:pt idx="3">
                  <c:v>32.758064516129032</c:v>
                </c:pt>
                <c:pt idx="4">
                  <c:v>44.758064516129032</c:v>
                </c:pt>
                <c:pt idx="5">
                  <c:v>51.637096774193552</c:v>
                </c:pt>
                <c:pt idx="6">
                  <c:v>30</c:v>
                </c:pt>
                <c:pt idx="7">
                  <c:v>41.637096774193552</c:v>
                </c:pt>
                <c:pt idx="8">
                  <c:v>41.758064516129032</c:v>
                </c:pt>
                <c:pt idx="9">
                  <c:v>35.516129032258064</c:v>
                </c:pt>
                <c:pt idx="10">
                  <c:v>30.758064516129032</c:v>
                </c:pt>
                <c:pt idx="11">
                  <c:v>24.758064516129032</c:v>
                </c:pt>
              </c:numCache>
            </c:numRef>
          </c:val>
          <c:smooth val="0"/>
          <c:extLst>
            <c:ext xmlns:c16="http://schemas.microsoft.com/office/drawing/2014/chart" uri="{C3380CC4-5D6E-409C-BE32-E72D297353CC}">
              <c16:uniqueId val="{00000000-1E30-4481-9E67-4239E41191E3}"/>
            </c:ext>
          </c:extLst>
        </c:ser>
        <c:dLbls>
          <c:showLegendKey val="0"/>
          <c:showVal val="0"/>
          <c:showCatName val="0"/>
          <c:showSerName val="0"/>
          <c:showPercent val="0"/>
          <c:showBubbleSize val="0"/>
        </c:dLbls>
        <c:smooth val="0"/>
        <c:axId val="755608496"/>
        <c:axId val="755610896"/>
      </c:lineChart>
      <c:catAx>
        <c:axId val="7556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55610896"/>
        <c:crosses val="autoZero"/>
        <c:auto val="1"/>
        <c:lblAlgn val="ctr"/>
        <c:lblOffset val="100"/>
        <c:noMultiLvlLbl val="0"/>
      </c:catAx>
      <c:valAx>
        <c:axId val="7556108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5560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92D050"/>
      </a:solidFill>
      <a:round/>
    </a:ln>
    <a:effectLst/>
    <a:scene3d>
      <a:camera prst="orthographicFront"/>
      <a:lightRig rig="threePt" dir="t"/>
    </a:scene3d>
    <a:sp3d>
      <a:bevelT w="165100" prst="coolSlan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19.xlsx]Task 19-Pivot Table!PivotTable5</c:name>
    <c:fmtId val="47"/>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Total Salary</a:t>
            </a:r>
            <a:r>
              <a:rPr lang="en-IN" sz="1200" b="1" baseline="0">
                <a:solidFill>
                  <a:schemeClr val="tx1"/>
                </a:solidFill>
              </a:rPr>
              <a:t> By Department</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19-Pivot Table'!$B$41:$B$42</c:f>
              <c:strCache>
                <c:ptCount val="1"/>
                <c:pt idx="0">
                  <c:v>2015</c:v>
                </c:pt>
              </c:strCache>
            </c:strRef>
          </c:tx>
          <c:spPr>
            <a:solidFill>
              <a:schemeClr val="accent1"/>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Table'!$B$43:$B$48</c:f>
              <c:numCache>
                <c:formatCode>0</c:formatCode>
                <c:ptCount val="5"/>
                <c:pt idx="0">
                  <c:v>519835</c:v>
                </c:pt>
                <c:pt idx="1">
                  <c:v>917311.92957746482</c:v>
                </c:pt>
                <c:pt idx="2">
                  <c:v>617811</c:v>
                </c:pt>
                <c:pt idx="3">
                  <c:v>739232</c:v>
                </c:pt>
                <c:pt idx="4">
                  <c:v>518155</c:v>
                </c:pt>
              </c:numCache>
            </c:numRef>
          </c:val>
          <c:extLst>
            <c:ext xmlns:c16="http://schemas.microsoft.com/office/drawing/2014/chart" uri="{C3380CC4-5D6E-409C-BE32-E72D297353CC}">
              <c16:uniqueId val="{00000000-5563-4005-A9FA-E95E46017A22}"/>
            </c:ext>
          </c:extLst>
        </c:ser>
        <c:ser>
          <c:idx val="1"/>
          <c:order val="1"/>
          <c:tx>
            <c:strRef>
              <c:f>'Task 19-Pivot Table'!$C$41:$C$42</c:f>
              <c:strCache>
                <c:ptCount val="1"/>
                <c:pt idx="0">
                  <c:v>2016</c:v>
                </c:pt>
              </c:strCache>
            </c:strRef>
          </c:tx>
          <c:spPr>
            <a:solidFill>
              <a:schemeClr val="accent2"/>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Table'!$C$43:$C$48</c:f>
              <c:numCache>
                <c:formatCode>0</c:formatCode>
                <c:ptCount val="5"/>
                <c:pt idx="0">
                  <c:v>537899.92957746482</c:v>
                </c:pt>
                <c:pt idx="1">
                  <c:v>292693</c:v>
                </c:pt>
                <c:pt idx="2">
                  <c:v>733303.92957746482</c:v>
                </c:pt>
                <c:pt idx="3">
                  <c:v>1502215.7887323943</c:v>
                </c:pt>
                <c:pt idx="4">
                  <c:v>720051</c:v>
                </c:pt>
              </c:numCache>
            </c:numRef>
          </c:val>
          <c:extLst>
            <c:ext xmlns:c16="http://schemas.microsoft.com/office/drawing/2014/chart" uri="{C3380CC4-5D6E-409C-BE32-E72D297353CC}">
              <c16:uniqueId val="{00000001-5563-4005-A9FA-E95E46017A22}"/>
            </c:ext>
          </c:extLst>
        </c:ser>
        <c:ser>
          <c:idx val="2"/>
          <c:order val="2"/>
          <c:tx>
            <c:strRef>
              <c:f>'Task 19-Pivot Table'!$D$41:$D$42</c:f>
              <c:strCache>
                <c:ptCount val="1"/>
                <c:pt idx="0">
                  <c:v>2017</c:v>
                </c:pt>
              </c:strCache>
            </c:strRef>
          </c:tx>
          <c:spPr>
            <a:solidFill>
              <a:schemeClr val="accent3"/>
            </a:solidFill>
            <a:ln>
              <a:noFill/>
            </a:ln>
            <a:effectLst/>
          </c:spPr>
          <c:invertIfNegative val="0"/>
          <c:cat>
            <c:strRef>
              <c:f>'Task 19-Pivot Table'!$A$43:$A$48</c:f>
              <c:strCache>
                <c:ptCount val="5"/>
                <c:pt idx="0">
                  <c:v>Finance</c:v>
                </c:pt>
                <c:pt idx="1">
                  <c:v>HR</c:v>
                </c:pt>
                <c:pt idx="2">
                  <c:v>IT</c:v>
                </c:pt>
                <c:pt idx="3">
                  <c:v>Marketing</c:v>
                </c:pt>
                <c:pt idx="4">
                  <c:v>Sales</c:v>
                </c:pt>
              </c:strCache>
            </c:strRef>
          </c:cat>
          <c:val>
            <c:numRef>
              <c:f>'Task 19-Pivot Table'!$D$43:$D$48</c:f>
              <c:numCache>
                <c:formatCode>0</c:formatCode>
                <c:ptCount val="5"/>
                <c:pt idx="0">
                  <c:v>320637</c:v>
                </c:pt>
                <c:pt idx="1">
                  <c:v>416471</c:v>
                </c:pt>
                <c:pt idx="2">
                  <c:v>302946</c:v>
                </c:pt>
                <c:pt idx="3">
                  <c:v>1210994</c:v>
                </c:pt>
                <c:pt idx="4">
                  <c:v>526301.92957746482</c:v>
                </c:pt>
              </c:numCache>
            </c:numRef>
          </c:val>
          <c:extLst>
            <c:ext xmlns:c16="http://schemas.microsoft.com/office/drawing/2014/chart" uri="{C3380CC4-5D6E-409C-BE32-E72D297353CC}">
              <c16:uniqueId val="{00000002-5563-4005-A9FA-E95E46017A22}"/>
            </c:ext>
          </c:extLst>
        </c:ser>
        <c:dLbls>
          <c:showLegendKey val="0"/>
          <c:showVal val="0"/>
          <c:showCatName val="0"/>
          <c:showSerName val="0"/>
          <c:showPercent val="0"/>
          <c:showBubbleSize val="0"/>
        </c:dLbls>
        <c:gapWidth val="219"/>
        <c:overlap val="-27"/>
        <c:axId val="767427424"/>
        <c:axId val="767428384"/>
      </c:barChart>
      <c:catAx>
        <c:axId val="76742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28384"/>
        <c:crosses val="autoZero"/>
        <c:auto val="1"/>
        <c:lblAlgn val="ctr"/>
        <c:lblOffset val="100"/>
        <c:noMultiLvlLbl val="0"/>
      </c:catAx>
      <c:valAx>
        <c:axId val="767428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2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92D050"/>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1117</xdr:colOff>
      <xdr:row>9</xdr:row>
      <xdr:rowOff>119529</xdr:rowOff>
    </xdr:from>
    <xdr:to>
      <xdr:col>8</xdr:col>
      <xdr:colOff>625929</xdr:colOff>
      <xdr:row>19</xdr:row>
      <xdr:rowOff>158750</xdr:rowOff>
    </xdr:to>
    <xdr:graphicFrame macro="">
      <xdr:nvGraphicFramePr>
        <xdr:cNvPr id="2" name="Chart 1">
          <a:extLst>
            <a:ext uri="{FF2B5EF4-FFF2-40B4-BE49-F238E27FC236}">
              <a16:creationId xmlns:a16="http://schemas.microsoft.com/office/drawing/2014/main" id="{A8D2E910-769C-44D0-9D1F-0E4CC85F4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845456</xdr:colOff>
      <xdr:row>21</xdr:row>
      <xdr:rowOff>136526</xdr:rowOff>
    </xdr:from>
    <xdr:to>
      <xdr:col>9</xdr:col>
      <xdr:colOff>45357</xdr:colOff>
      <xdr:row>32</xdr:row>
      <xdr:rowOff>154216</xdr:rowOff>
    </xdr:to>
    <xdr:graphicFrame macro="">
      <xdr:nvGraphicFramePr>
        <xdr:cNvPr id="3" name="Chart 2">
          <a:extLst>
            <a:ext uri="{FF2B5EF4-FFF2-40B4-BE49-F238E27FC236}">
              <a16:creationId xmlns:a16="http://schemas.microsoft.com/office/drawing/2014/main" id="{40E5BBC6-72B6-C9F9-06E1-DB5AAF87F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653143</xdr:colOff>
      <xdr:row>38</xdr:row>
      <xdr:rowOff>152400</xdr:rowOff>
    </xdr:from>
    <xdr:to>
      <xdr:col>13</xdr:col>
      <xdr:colOff>136072</xdr:colOff>
      <xdr:row>49</xdr:row>
      <xdr:rowOff>54429</xdr:rowOff>
    </xdr:to>
    <xdr:graphicFrame macro="">
      <xdr:nvGraphicFramePr>
        <xdr:cNvPr id="4" name="Chart 3">
          <a:extLst>
            <a:ext uri="{FF2B5EF4-FFF2-40B4-BE49-F238E27FC236}">
              <a16:creationId xmlns:a16="http://schemas.microsoft.com/office/drawing/2014/main" id="{F46A6083-6C63-32C4-E561-2511786BF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359851</xdr:colOff>
      <xdr:row>1</xdr:row>
      <xdr:rowOff>25400</xdr:rowOff>
    </xdr:from>
    <xdr:to>
      <xdr:col>8</xdr:col>
      <xdr:colOff>175700</xdr:colOff>
      <xdr:row>6</xdr:row>
      <xdr:rowOff>4650</xdr:rowOff>
    </xdr:to>
    <xdr:grpSp>
      <xdr:nvGrpSpPr>
        <xdr:cNvPr id="30" name="Group 29">
          <a:extLst>
            <a:ext uri="{FF2B5EF4-FFF2-40B4-BE49-F238E27FC236}">
              <a16:creationId xmlns:a16="http://schemas.microsoft.com/office/drawing/2014/main" id="{B5E43888-3276-F2AB-93D1-24DC92BA4A91}"/>
            </a:ext>
          </a:extLst>
        </xdr:cNvPr>
        <xdr:cNvGrpSpPr/>
      </xdr:nvGrpSpPr>
      <xdr:grpSpPr>
        <a:xfrm>
          <a:off x="3407851" y="247650"/>
          <a:ext cx="1644649" cy="900000"/>
          <a:chOff x="3441701" y="247650"/>
          <a:chExt cx="1644649" cy="900000"/>
        </a:xfrm>
      </xdr:grpSpPr>
      <xdr:grpSp>
        <xdr:nvGrpSpPr>
          <xdr:cNvPr id="8" name="Group 7">
            <a:extLst>
              <a:ext uri="{FF2B5EF4-FFF2-40B4-BE49-F238E27FC236}">
                <a16:creationId xmlns:a16="http://schemas.microsoft.com/office/drawing/2014/main" id="{BF902A91-64EC-6ED6-11AA-5025476836AA}"/>
              </a:ext>
            </a:extLst>
          </xdr:cNvPr>
          <xdr:cNvGrpSpPr/>
        </xdr:nvGrpSpPr>
        <xdr:grpSpPr>
          <a:xfrm>
            <a:off x="3441701" y="247650"/>
            <a:ext cx="1644649" cy="900000"/>
            <a:chOff x="2973294" y="9241118"/>
            <a:chExt cx="3182471" cy="1157941"/>
          </a:xfrm>
        </xdr:grpSpPr>
        <xdr:sp macro="" textlink="">
          <xdr:nvSpPr>
            <xdr:cNvPr id="9" name="Rectangle 8">
              <a:extLst>
                <a:ext uri="{FF2B5EF4-FFF2-40B4-BE49-F238E27FC236}">
                  <a16:creationId xmlns:a16="http://schemas.microsoft.com/office/drawing/2014/main" id="{901F0427-17E3-ED1D-537F-3EEB1188B786}"/>
                </a:ext>
              </a:extLst>
            </xdr:cNvPr>
            <xdr:cNvSpPr/>
          </xdr:nvSpPr>
          <xdr:spPr>
            <a:xfrm>
              <a:off x="2973294" y="9241118"/>
              <a:ext cx="3182471" cy="1157941"/>
            </a:xfrm>
            <a:prstGeom prst="rect">
              <a:avLst/>
            </a:prstGeom>
            <a:no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Top</a:t>
              </a:r>
              <a:r>
                <a:rPr lang="en-IN" sz="1100" b="1" baseline="0">
                  <a:solidFill>
                    <a:schemeClr val="tx1"/>
                  </a:solidFill>
                </a:rPr>
                <a:t> Department</a:t>
              </a:r>
              <a:endParaRPr lang="en-IN" sz="1100" b="1">
                <a:solidFill>
                  <a:schemeClr val="tx1"/>
                </a:solidFill>
              </a:endParaRPr>
            </a:p>
          </xdr:txBody>
        </xdr:sp>
        <xdr:sp macro="" textlink="'Task 19-Pivot Table'!$I$5">
          <xdr:nvSpPr>
            <xdr:cNvPr id="10" name="TextBox 9">
              <a:extLst>
                <a:ext uri="{FF2B5EF4-FFF2-40B4-BE49-F238E27FC236}">
                  <a16:creationId xmlns:a16="http://schemas.microsoft.com/office/drawing/2014/main" id="{ABB5524C-CF06-FF41-FB43-442D6BE9ACDB}"/>
                </a:ext>
              </a:extLst>
            </xdr:cNvPr>
            <xdr:cNvSpPr txBox="1"/>
          </xdr:nvSpPr>
          <xdr:spPr>
            <a:xfrm>
              <a:off x="4167867" y="9687328"/>
              <a:ext cx="894307" cy="245697"/>
            </a:xfrm>
            <a:prstGeom prst="rect">
              <a:avLst/>
            </a:prstGeom>
            <a:noFill/>
            <a:ln w="3175">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15BFE3E4-4EEE-4E0D-A3EA-31908A3B98B5}" type="TxLink">
                <a:rPr lang="en-US" sz="1200" b="1" i="0" u="none" strike="noStrike">
                  <a:solidFill>
                    <a:srgbClr val="92D050"/>
                  </a:solidFill>
                  <a:latin typeface="Calibri"/>
                  <a:ea typeface="Calibri"/>
                  <a:cs typeface="Calibri"/>
                </a:rPr>
                <a:pPr algn="ctr"/>
                <a:t>Sales</a:t>
              </a:fld>
              <a:endParaRPr lang="en-IN" sz="1600" b="1">
                <a:solidFill>
                  <a:srgbClr val="92D050"/>
                </a:solidFill>
              </a:endParaRPr>
            </a:p>
          </xdr:txBody>
        </xdr:sp>
      </xdr:grpSp>
      <xdr:pic>
        <xdr:nvPicPr>
          <xdr:cNvPr id="18" name="Graphic 17" descr="Bar graph with upward trend with solid fill">
            <a:extLst>
              <a:ext uri="{FF2B5EF4-FFF2-40B4-BE49-F238E27FC236}">
                <a16:creationId xmlns:a16="http://schemas.microsoft.com/office/drawing/2014/main" id="{1CFB3296-3969-4F6E-E122-E4803280C3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45700" y="792900"/>
            <a:ext cx="312000" cy="312000"/>
          </a:xfrm>
          <a:prstGeom prst="rect">
            <a:avLst/>
          </a:prstGeom>
        </xdr:spPr>
      </xdr:pic>
    </xdr:grpSp>
    <xdr:clientData/>
  </xdr:twoCellAnchor>
  <xdr:twoCellAnchor>
    <xdr:from>
      <xdr:col>0</xdr:col>
      <xdr:colOff>38101</xdr:colOff>
      <xdr:row>1</xdr:row>
      <xdr:rowOff>25400</xdr:rowOff>
    </xdr:from>
    <xdr:to>
      <xdr:col>2</xdr:col>
      <xdr:colOff>463550</xdr:colOff>
      <xdr:row>6</xdr:row>
      <xdr:rowOff>4650</xdr:rowOff>
    </xdr:to>
    <xdr:grpSp>
      <xdr:nvGrpSpPr>
        <xdr:cNvPr id="28" name="Group 27">
          <a:extLst>
            <a:ext uri="{FF2B5EF4-FFF2-40B4-BE49-F238E27FC236}">
              <a16:creationId xmlns:a16="http://schemas.microsoft.com/office/drawing/2014/main" id="{A72923D7-40DC-0D5B-03FF-33CA9C9171A5}"/>
            </a:ext>
          </a:extLst>
        </xdr:cNvPr>
        <xdr:cNvGrpSpPr/>
      </xdr:nvGrpSpPr>
      <xdr:grpSpPr>
        <a:xfrm>
          <a:off x="38101" y="247650"/>
          <a:ext cx="1644649" cy="900000"/>
          <a:chOff x="38101" y="247650"/>
          <a:chExt cx="1644649" cy="900000"/>
        </a:xfrm>
      </xdr:grpSpPr>
      <xdr:grpSp>
        <xdr:nvGrpSpPr>
          <xdr:cNvPr id="2" name="Group 1">
            <a:extLst>
              <a:ext uri="{FF2B5EF4-FFF2-40B4-BE49-F238E27FC236}">
                <a16:creationId xmlns:a16="http://schemas.microsoft.com/office/drawing/2014/main" id="{0193F08A-9104-4DE9-8507-BC50EFAD4D33}"/>
              </a:ext>
            </a:extLst>
          </xdr:cNvPr>
          <xdr:cNvGrpSpPr/>
        </xdr:nvGrpSpPr>
        <xdr:grpSpPr>
          <a:xfrm>
            <a:off x="38101" y="247650"/>
            <a:ext cx="1644649" cy="900000"/>
            <a:chOff x="2973294" y="9241118"/>
            <a:chExt cx="3182471" cy="1157941"/>
          </a:xfrm>
        </xdr:grpSpPr>
        <xdr:sp macro="" textlink="">
          <xdr:nvSpPr>
            <xdr:cNvPr id="3" name="Rectangle 2">
              <a:extLst>
                <a:ext uri="{FF2B5EF4-FFF2-40B4-BE49-F238E27FC236}">
                  <a16:creationId xmlns:a16="http://schemas.microsoft.com/office/drawing/2014/main" id="{0E44F6F9-E648-4EA2-F8F0-A682368392CD}"/>
                </a:ext>
              </a:extLst>
            </xdr:cNvPr>
            <xdr:cNvSpPr/>
          </xdr:nvSpPr>
          <xdr:spPr>
            <a:xfrm>
              <a:off x="2973294" y="9241118"/>
              <a:ext cx="3182471" cy="1157941"/>
            </a:xfrm>
            <a:prstGeom prst="rect">
              <a:avLst/>
            </a:prstGeom>
            <a:no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chemeClr val="tx1"/>
                  </a:solidFill>
                </a:rPr>
                <a:t>Average Salary</a:t>
              </a:r>
              <a:endParaRPr lang="en-IN" sz="1100" b="1">
                <a:solidFill>
                  <a:schemeClr val="tx1"/>
                </a:solidFill>
              </a:endParaRPr>
            </a:p>
          </xdr:txBody>
        </xdr:sp>
        <xdr:sp macro="" textlink="'Task 19-Pivot Table'!$I$1">
          <xdr:nvSpPr>
            <xdr:cNvPr id="4" name="TextBox 3">
              <a:extLst>
                <a:ext uri="{FF2B5EF4-FFF2-40B4-BE49-F238E27FC236}">
                  <a16:creationId xmlns:a16="http://schemas.microsoft.com/office/drawing/2014/main" id="{F1AB4895-B979-B151-4434-333B38A1C736}"/>
                </a:ext>
              </a:extLst>
            </xdr:cNvPr>
            <xdr:cNvSpPr txBox="1"/>
          </xdr:nvSpPr>
          <xdr:spPr>
            <a:xfrm>
              <a:off x="4131005" y="9731035"/>
              <a:ext cx="894307" cy="245697"/>
            </a:xfrm>
            <a:prstGeom prst="rect">
              <a:avLst/>
            </a:prstGeom>
            <a:noFill/>
            <a:ln w="3175">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7EE89C9-76A0-4288-85E4-A8B3BCD90436}" type="TxLink">
                <a:rPr lang="en-US" sz="1200" b="1" i="0" u="none" strike="noStrike">
                  <a:solidFill>
                    <a:srgbClr val="92D050"/>
                  </a:solidFill>
                  <a:latin typeface="Calibri"/>
                  <a:ea typeface="Calibri"/>
                  <a:cs typeface="Calibri"/>
                </a:rPr>
                <a:pPr algn="ctr"/>
                <a:t>66281</a:t>
              </a:fld>
              <a:endParaRPr lang="en-IN" sz="1600" b="1">
                <a:solidFill>
                  <a:srgbClr val="92D050"/>
                </a:solidFill>
              </a:endParaRPr>
            </a:p>
          </xdr:txBody>
        </xdr:sp>
      </xdr:grpSp>
      <xdr:pic>
        <xdr:nvPicPr>
          <xdr:cNvPr id="20" name="Picture 19">
            <a:extLst>
              <a:ext uri="{FF2B5EF4-FFF2-40B4-BE49-F238E27FC236}">
                <a16:creationId xmlns:a16="http://schemas.microsoft.com/office/drawing/2014/main" id="{796A6A30-B568-4A94-94EC-53C8D6CBE78B}"/>
              </a:ext>
            </a:extLst>
          </xdr:cNvPr>
          <xdr:cNvPicPr>
            <a:picLocks noChangeAspect="1"/>
          </xdr:cNvPicPr>
        </xdr:nvPicPr>
        <xdr:blipFill>
          <a:blip xmlns:r="http://schemas.openxmlformats.org/officeDocument/2006/relationships" r:embed="rId3"/>
          <a:stretch>
            <a:fillRect/>
          </a:stretch>
        </xdr:blipFill>
        <xdr:spPr>
          <a:xfrm>
            <a:off x="368300" y="971550"/>
            <a:ext cx="936000" cy="106364"/>
          </a:xfrm>
          <a:prstGeom prst="rect">
            <a:avLst/>
          </a:prstGeom>
          <a:ln>
            <a:noFill/>
          </a:ln>
        </xdr:spPr>
      </xdr:pic>
    </xdr:grpSp>
    <xdr:clientData/>
  </xdr:twoCellAnchor>
  <xdr:twoCellAnchor>
    <xdr:from>
      <xdr:col>2</xdr:col>
      <xdr:colOff>503776</xdr:colOff>
      <xdr:row>1</xdr:row>
      <xdr:rowOff>25400</xdr:rowOff>
    </xdr:from>
    <xdr:to>
      <xdr:col>5</xdr:col>
      <xdr:colOff>319625</xdr:colOff>
      <xdr:row>6</xdr:row>
      <xdr:rowOff>4650</xdr:rowOff>
    </xdr:to>
    <xdr:grpSp>
      <xdr:nvGrpSpPr>
        <xdr:cNvPr id="29" name="Group 28">
          <a:extLst>
            <a:ext uri="{FF2B5EF4-FFF2-40B4-BE49-F238E27FC236}">
              <a16:creationId xmlns:a16="http://schemas.microsoft.com/office/drawing/2014/main" id="{FC9345DF-63D9-C698-B9BD-9C8EFE447884}"/>
            </a:ext>
          </a:extLst>
        </xdr:cNvPr>
        <xdr:cNvGrpSpPr/>
      </xdr:nvGrpSpPr>
      <xdr:grpSpPr>
        <a:xfrm>
          <a:off x="1722976" y="247650"/>
          <a:ext cx="1644649" cy="900000"/>
          <a:chOff x="1739901" y="247650"/>
          <a:chExt cx="1644649" cy="900000"/>
        </a:xfrm>
      </xdr:grpSpPr>
      <xdr:grpSp>
        <xdr:nvGrpSpPr>
          <xdr:cNvPr id="5" name="Group 4">
            <a:extLst>
              <a:ext uri="{FF2B5EF4-FFF2-40B4-BE49-F238E27FC236}">
                <a16:creationId xmlns:a16="http://schemas.microsoft.com/office/drawing/2014/main" id="{491FF128-FFD5-0AF4-6DC1-705E46FBA451}"/>
              </a:ext>
            </a:extLst>
          </xdr:cNvPr>
          <xdr:cNvGrpSpPr/>
        </xdr:nvGrpSpPr>
        <xdr:grpSpPr>
          <a:xfrm>
            <a:off x="1739901" y="247650"/>
            <a:ext cx="1644649" cy="900000"/>
            <a:chOff x="2973294" y="9241118"/>
            <a:chExt cx="3182471" cy="1157941"/>
          </a:xfrm>
        </xdr:grpSpPr>
        <xdr:sp macro="" textlink="">
          <xdr:nvSpPr>
            <xdr:cNvPr id="6" name="Rectangle 5">
              <a:extLst>
                <a:ext uri="{FF2B5EF4-FFF2-40B4-BE49-F238E27FC236}">
                  <a16:creationId xmlns:a16="http://schemas.microsoft.com/office/drawing/2014/main" id="{5B28F8C8-349E-AAAB-9E90-94E6E9150332}"/>
                </a:ext>
              </a:extLst>
            </xdr:cNvPr>
            <xdr:cNvSpPr/>
          </xdr:nvSpPr>
          <xdr:spPr>
            <a:xfrm>
              <a:off x="2973294" y="9241118"/>
              <a:ext cx="3182471" cy="1157941"/>
            </a:xfrm>
            <a:prstGeom prst="rect">
              <a:avLst/>
            </a:prstGeom>
            <a:no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Performance</a:t>
              </a:r>
              <a:endParaRPr lang="en-IN" sz="1100" b="1">
                <a:solidFill>
                  <a:schemeClr val="tx1"/>
                </a:solidFill>
              </a:endParaRPr>
            </a:p>
          </xdr:txBody>
        </xdr:sp>
        <xdr:sp macro="" textlink="'Task 19-Pivot Table'!$I$3">
          <xdr:nvSpPr>
            <xdr:cNvPr id="7" name="TextBox 6">
              <a:extLst>
                <a:ext uri="{FF2B5EF4-FFF2-40B4-BE49-F238E27FC236}">
                  <a16:creationId xmlns:a16="http://schemas.microsoft.com/office/drawing/2014/main" id="{F315C464-51B6-419A-DDF3-314E345BE78C}"/>
                </a:ext>
              </a:extLst>
            </xdr:cNvPr>
            <xdr:cNvSpPr txBox="1"/>
          </xdr:nvSpPr>
          <xdr:spPr>
            <a:xfrm>
              <a:off x="4204730" y="9723270"/>
              <a:ext cx="894307" cy="245697"/>
            </a:xfrm>
            <a:prstGeom prst="rect">
              <a:avLst/>
            </a:prstGeom>
            <a:noFill/>
            <a:ln w="3175">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344FF0AA-6162-4DF6-A594-6F0E8386AACF}" type="TxLink">
                <a:rPr lang="en-US" sz="1200" b="1" i="0" u="none" strike="noStrike">
                  <a:solidFill>
                    <a:srgbClr val="92D050"/>
                  </a:solidFill>
                  <a:latin typeface="Calibri"/>
                  <a:ea typeface="Calibri"/>
                  <a:cs typeface="Calibri"/>
                </a:rPr>
                <a:pPr algn="ctr"/>
                <a:t>429</a:t>
              </a:fld>
              <a:endParaRPr lang="en-IN" sz="1600" b="1">
                <a:solidFill>
                  <a:srgbClr val="92D050"/>
                </a:solidFill>
              </a:endParaRPr>
            </a:p>
          </xdr:txBody>
        </xdr:sp>
      </xdr:grpSp>
      <xdr:pic>
        <xdr:nvPicPr>
          <xdr:cNvPr id="21" name="Picture 20">
            <a:extLst>
              <a:ext uri="{FF2B5EF4-FFF2-40B4-BE49-F238E27FC236}">
                <a16:creationId xmlns:a16="http://schemas.microsoft.com/office/drawing/2014/main" id="{5DECC276-18F6-4524-8801-4C5BE7014F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46301" y="933451"/>
            <a:ext cx="936000" cy="176214"/>
          </a:xfrm>
          <a:prstGeom prst="rect">
            <a:avLst/>
          </a:prstGeom>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57150</xdr:colOff>
      <xdr:row>6</xdr:row>
      <xdr:rowOff>63500</xdr:rowOff>
    </xdr:from>
    <xdr:to>
      <xdr:col>6</xdr:col>
      <xdr:colOff>251550</xdr:colOff>
      <xdr:row>18</xdr:row>
      <xdr:rowOff>85700</xdr:rowOff>
    </xdr:to>
    <xdr:graphicFrame macro="">
      <xdr:nvGraphicFramePr>
        <xdr:cNvPr id="25" name="Chart 24">
          <a:extLst>
            <a:ext uri="{FF2B5EF4-FFF2-40B4-BE49-F238E27FC236}">
              <a16:creationId xmlns:a16="http://schemas.microsoft.com/office/drawing/2014/main" id="{7975557B-6FC6-4B23-9151-5411591BF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215926</xdr:colOff>
      <xdr:row>1</xdr:row>
      <xdr:rowOff>25400</xdr:rowOff>
    </xdr:from>
    <xdr:to>
      <xdr:col>13</xdr:col>
      <xdr:colOff>533426</xdr:colOff>
      <xdr:row>6</xdr:row>
      <xdr:rowOff>4650</xdr:rowOff>
    </xdr:to>
    <mc:AlternateContent xmlns:mc="http://schemas.openxmlformats.org/markup-compatibility/2006" xmlns:a14="http://schemas.microsoft.com/office/drawing/2010/main">
      <mc:Choice Requires="a14">
        <xdr:graphicFrame macro="">
          <xdr:nvGraphicFramePr>
            <xdr:cNvPr id="26" name="Department 3">
              <a:extLst>
                <a:ext uri="{FF2B5EF4-FFF2-40B4-BE49-F238E27FC236}">
                  <a16:creationId xmlns:a16="http://schemas.microsoft.com/office/drawing/2014/main" id="{28B030B9-BC6D-BE38-A217-E134806CCC9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092726" y="247650"/>
              <a:ext cx="33655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573650</xdr:colOff>
      <xdr:row>1</xdr:row>
      <xdr:rowOff>25401</xdr:rowOff>
    </xdr:from>
    <xdr:to>
      <xdr:col>19</xdr:col>
      <xdr:colOff>103750</xdr:colOff>
      <xdr:row>6</xdr:row>
      <xdr:rowOff>4651</xdr:rowOff>
    </xdr:to>
    <mc:AlternateContent xmlns:mc="http://schemas.openxmlformats.org/markup-compatibility/2006" xmlns:a14="http://schemas.microsoft.com/office/drawing/2010/main">
      <mc:Choice Requires="a14">
        <xdr:graphicFrame macro="">
          <xdr:nvGraphicFramePr>
            <xdr:cNvPr id="27" name="Country 3">
              <a:extLst>
                <a:ext uri="{FF2B5EF4-FFF2-40B4-BE49-F238E27FC236}">
                  <a16:creationId xmlns:a16="http://schemas.microsoft.com/office/drawing/2014/main" id="{0AB3B4FC-62BC-50C0-2A8D-12DFBFAA2BDF}"/>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8498450" y="247651"/>
              <a:ext cx="31877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288050</xdr:colOff>
      <xdr:row>6</xdr:row>
      <xdr:rowOff>63500</xdr:rowOff>
    </xdr:from>
    <xdr:to>
      <xdr:col>12</xdr:col>
      <xdr:colOff>482450</xdr:colOff>
      <xdr:row>18</xdr:row>
      <xdr:rowOff>85700</xdr:rowOff>
    </xdr:to>
    <xdr:graphicFrame macro="">
      <xdr:nvGraphicFramePr>
        <xdr:cNvPr id="11" name="Chart 10">
          <a:extLst>
            <a:ext uri="{FF2B5EF4-FFF2-40B4-BE49-F238E27FC236}">
              <a16:creationId xmlns:a16="http://schemas.microsoft.com/office/drawing/2014/main" id="{0F4CF71D-F31E-414B-91C4-D68816669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518950</xdr:colOff>
      <xdr:row>6</xdr:row>
      <xdr:rowOff>63500</xdr:rowOff>
    </xdr:from>
    <xdr:to>
      <xdr:col>19</xdr:col>
      <xdr:colOff>103750</xdr:colOff>
      <xdr:row>18</xdr:row>
      <xdr:rowOff>85700</xdr:rowOff>
    </xdr:to>
    <xdr:graphicFrame macro="">
      <xdr:nvGraphicFramePr>
        <xdr:cNvPr id="12" name="Chart 11">
          <a:extLst>
            <a:ext uri="{FF2B5EF4-FFF2-40B4-BE49-F238E27FC236}">
              <a16:creationId xmlns:a16="http://schemas.microsoft.com/office/drawing/2014/main" id="{3BDCD4F0-3F19-4B57-BFDF-692D30558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704137eb499a6c1/Desktop/Entri/Excel/Excel%20Task%20challenge/Task%20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nil jueleon" refreshedDate="46051.469465162038" createdVersion="8" refreshedVersion="8" minRefreshableVersion="3" recordCount="149" xr:uid="{51FF3D9B-A447-495B-8257-EEDDCA89B108}">
  <cacheSource type="worksheet">
    <worksheetSource name="Table358710111214"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
      <sharedItems containsSemiMixedTypes="0" containsString="0" containsNumber="1" minValue="30280" maxValue="99621"/>
    </cacheField>
    <cacheField name="Performance Rating" numFmtId="1">
      <sharedItems containsSemiMixedTypes="0" containsString="0" containsNumber="1" minValue="1" maxValue="5"/>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6-06-12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Gender" numFmtId="0">
      <sharedItems count="4">
        <s v="Female"/>
        <s v="Male"/>
        <s v="Other"/>
        <s v="Unknown" u="1"/>
      </sharedItems>
    </cacheField>
    <cacheField name="Email" numFmtId="0">
      <sharedItems/>
    </cacheField>
    <cacheField name="Months (Date of Joining)" numFmtId="0" databaseField="0">
      <fieldGroup base="6">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6">
        <rangePr groupBy="quarters" startDate="2015-01-11T00:00:00" endDate="2017-11-13T00:00:00"/>
        <groupItems count="6">
          <s v="&lt;11-01-2015"/>
          <s v="Qtr1"/>
          <s v="Qtr2"/>
          <s v="Qtr3"/>
          <s v="Qtr4"/>
          <s v="&gt;13-11-2017"/>
        </groupItems>
      </fieldGroup>
    </cacheField>
    <cacheField name="Years (Date of Joining)" numFmtId="0" databaseField="0">
      <fieldGroup base="6">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767204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x v="0"/>
    <n v="54255"/>
    <n v="1"/>
    <x v="0"/>
    <x v="0"/>
    <s v="user106@example.com"/>
  </r>
  <r>
    <x v="1"/>
    <s v="Alice Brown"/>
    <x v="1"/>
    <x v="0"/>
    <n v="63184"/>
    <n v="2"/>
    <x v="1"/>
    <x v="0"/>
    <s v="user176@example.com"/>
  </r>
  <r>
    <x v="2"/>
    <s v="John Doe"/>
    <x v="2"/>
    <x v="1"/>
    <n v="94406"/>
    <n v="1"/>
    <x v="2"/>
    <x v="1"/>
    <s v="user168@example.com"/>
  </r>
  <r>
    <x v="3"/>
    <s v="Jane Smith"/>
    <x v="2"/>
    <x v="0"/>
    <n v="64120"/>
    <n v="1"/>
    <x v="3"/>
    <x v="0"/>
    <s v="user49@example.com"/>
  </r>
  <r>
    <x v="4"/>
    <s v="Alice Brown"/>
    <x v="3"/>
    <x v="2"/>
    <n v="78421"/>
    <n v="2"/>
    <x v="4"/>
    <x v="0"/>
    <s v="user24@example.com"/>
  </r>
  <r>
    <x v="5"/>
    <s v="Sam Wilson"/>
    <x v="2"/>
    <x v="2"/>
    <n v="67721"/>
    <n v="2.879032258064516"/>
    <x v="5"/>
    <x v="1"/>
    <s v="user168@example.com"/>
  </r>
  <r>
    <x v="6"/>
    <s v="Chris Lee"/>
    <x v="4"/>
    <x v="2"/>
    <n v="35364"/>
    <n v="2"/>
    <x v="6"/>
    <x v="0"/>
    <s v="user26@example.com"/>
  </r>
  <r>
    <x v="7"/>
    <s v="Alice Brown"/>
    <x v="3"/>
    <x v="0"/>
    <n v="97881"/>
    <n v="2.879032258064516"/>
    <x v="7"/>
    <x v="0"/>
    <s v="user25@example.com"/>
  </r>
  <r>
    <x v="8"/>
    <s v="Chris Lee"/>
    <x v="0"/>
    <x v="3"/>
    <n v="91846"/>
    <n v="2.879032258064516"/>
    <x v="8"/>
    <x v="1"/>
    <s v="user153@example.com"/>
  </r>
  <r>
    <x v="9"/>
    <s v="Sam Wilson"/>
    <x v="1"/>
    <x v="3"/>
    <n v="64247"/>
    <n v="1"/>
    <x v="9"/>
    <x v="1"/>
    <s v="user18@example.com"/>
  </r>
  <r>
    <x v="10"/>
    <s v="Sam Wilson"/>
    <x v="3"/>
    <x v="1"/>
    <n v="91180"/>
    <n v="5"/>
    <x v="10"/>
    <x v="1"/>
    <s v="user1@example.com"/>
  </r>
  <r>
    <x v="11"/>
    <s v="Bob Johnson"/>
    <x v="2"/>
    <x v="2"/>
    <n v="96418"/>
    <n v="5"/>
    <x v="11"/>
    <x v="1"/>
    <s v="user106@example.com"/>
  </r>
  <r>
    <x v="12"/>
    <s v="Sam Wilson"/>
    <x v="4"/>
    <x v="2"/>
    <n v="62158"/>
    <n v="4"/>
    <x v="12"/>
    <x v="1"/>
    <s v="user180@example.com"/>
  </r>
  <r>
    <x v="13"/>
    <s v="Jane Smith"/>
    <x v="0"/>
    <x v="2"/>
    <n v="59894"/>
    <n v="2"/>
    <x v="13"/>
    <x v="0"/>
    <s v="user184@example.com"/>
  </r>
  <r>
    <x v="14"/>
    <s v="Unknown"/>
    <x v="3"/>
    <x v="2"/>
    <n v="92443"/>
    <n v="3"/>
    <x v="14"/>
    <x v="2"/>
    <s v="user3@example.com"/>
  </r>
  <r>
    <x v="15"/>
    <s v="Bob Johnson"/>
    <x v="4"/>
    <x v="0"/>
    <n v="90271"/>
    <n v="2.879032258064516"/>
    <x v="15"/>
    <x v="1"/>
    <s v="user64@example.com"/>
  </r>
  <r>
    <x v="16"/>
    <s v="Jane Smith"/>
    <x v="1"/>
    <x v="4"/>
    <n v="41341"/>
    <n v="1"/>
    <x v="16"/>
    <x v="0"/>
    <s v="user38@example.com"/>
  </r>
  <r>
    <x v="17"/>
    <s v="Alice Brown"/>
    <x v="1"/>
    <x v="3"/>
    <n v="73602"/>
    <n v="2.879032258064516"/>
    <x v="17"/>
    <x v="0"/>
    <s v="user96@example.com"/>
  </r>
  <r>
    <x v="18"/>
    <s v="Eve Adams"/>
    <x v="4"/>
    <x v="2"/>
    <n v="67531"/>
    <n v="5"/>
    <x v="18"/>
    <x v="0"/>
    <s v="user151@example.com"/>
  </r>
  <r>
    <x v="19"/>
    <s v="Jane Smith"/>
    <x v="0"/>
    <x v="1"/>
    <n v="66280.929577464791"/>
    <n v="2"/>
    <x v="19"/>
    <x v="0"/>
    <s v="user200@example.com"/>
  </r>
  <r>
    <x v="20"/>
    <s v="Jane Smith"/>
    <x v="0"/>
    <x v="2"/>
    <n v="98922"/>
    <n v="4"/>
    <x v="20"/>
    <x v="0"/>
    <s v="user77@example.com"/>
  </r>
  <r>
    <x v="21"/>
    <s v="Eve Adams"/>
    <x v="1"/>
    <x v="2"/>
    <n v="38333"/>
    <n v="5"/>
    <x v="21"/>
    <x v="0"/>
    <s v="user128@example.com"/>
  </r>
  <r>
    <x v="22"/>
    <s v="Alice Brown"/>
    <x v="4"/>
    <x v="3"/>
    <n v="36515"/>
    <n v="3"/>
    <x v="22"/>
    <x v="0"/>
    <s v="user149@example.com"/>
  </r>
  <r>
    <x v="23"/>
    <s v="Sam Wilson"/>
    <x v="1"/>
    <x v="2"/>
    <n v="91005"/>
    <n v="1"/>
    <x v="23"/>
    <x v="1"/>
    <s v="user122@example.com"/>
  </r>
  <r>
    <x v="24"/>
    <s v="Chris Lee"/>
    <x v="4"/>
    <x v="2"/>
    <n v="52272"/>
    <n v="3"/>
    <x v="24"/>
    <x v="0"/>
    <s v="user41@example.com"/>
  </r>
  <r>
    <x v="25"/>
    <s v="Eve Adams"/>
    <x v="2"/>
    <x v="0"/>
    <n v="76518"/>
    <n v="2"/>
    <x v="25"/>
    <x v="0"/>
    <s v="user68@example.com"/>
  </r>
  <r>
    <x v="26"/>
    <s v="Alice Brown"/>
    <x v="3"/>
    <x v="3"/>
    <n v="41448"/>
    <n v="3"/>
    <x v="26"/>
    <x v="0"/>
    <s v="user103@example.com"/>
  </r>
  <r>
    <x v="27"/>
    <s v="John Doe"/>
    <x v="0"/>
    <x v="3"/>
    <n v="49282"/>
    <n v="2"/>
    <x v="27"/>
    <x v="0"/>
    <s v="user135@example.com"/>
  </r>
  <r>
    <x v="28"/>
    <s v="Bob Johnson"/>
    <x v="4"/>
    <x v="3"/>
    <n v="92959"/>
    <n v="5"/>
    <x v="28"/>
    <x v="1"/>
    <s v="user83@example.com"/>
  </r>
  <r>
    <x v="29"/>
    <s v="Unknown"/>
    <x v="4"/>
    <x v="2"/>
    <n v="92259"/>
    <n v="1"/>
    <x v="29"/>
    <x v="2"/>
    <s v="user109@example.com"/>
  </r>
  <r>
    <x v="30"/>
    <s v="Eve Adams"/>
    <x v="0"/>
    <x v="0"/>
    <n v="92299"/>
    <n v="3"/>
    <x v="30"/>
    <x v="0"/>
    <s v="user143@example.com"/>
  </r>
  <r>
    <x v="31"/>
    <s v="Sam Wilson"/>
    <x v="0"/>
    <x v="2"/>
    <n v="95586"/>
    <n v="3"/>
    <x v="31"/>
    <x v="1"/>
    <s v="user190@example.com"/>
  </r>
  <r>
    <x v="32"/>
    <s v="Chris Lee"/>
    <x v="4"/>
    <x v="1"/>
    <n v="95367"/>
    <n v="2.879032258064516"/>
    <x v="32"/>
    <x v="1"/>
    <s v="user136@example.com"/>
  </r>
  <r>
    <x v="33"/>
    <s v="John Doe"/>
    <x v="2"/>
    <x v="4"/>
    <n v="79549"/>
    <n v="3"/>
    <x v="33"/>
    <x v="1"/>
    <s v="user198@example.com"/>
  </r>
  <r>
    <x v="34"/>
    <s v="Alice Brown"/>
    <x v="4"/>
    <x v="3"/>
    <n v="54463"/>
    <n v="4"/>
    <x v="34"/>
    <x v="0"/>
    <s v="Unknown"/>
  </r>
  <r>
    <x v="35"/>
    <s v="Alice Brown"/>
    <x v="3"/>
    <x v="1"/>
    <n v="89781"/>
    <n v="2.879032258064516"/>
    <x v="35"/>
    <x v="0"/>
    <s v="user31@example.com"/>
  </r>
  <r>
    <x v="36"/>
    <s v="Alice Brown"/>
    <x v="0"/>
    <x v="2"/>
    <n v="64796"/>
    <n v="2.879032258064516"/>
    <x v="36"/>
    <x v="0"/>
    <s v="user98@example.com"/>
  </r>
  <r>
    <x v="37"/>
    <s v="John Doe"/>
    <x v="4"/>
    <x v="3"/>
    <n v="52093"/>
    <n v="5"/>
    <x v="37"/>
    <x v="1"/>
    <s v="user154@example.com"/>
  </r>
  <r>
    <x v="38"/>
    <s v="Chris Lee"/>
    <x v="0"/>
    <x v="3"/>
    <n v="48224"/>
    <n v="3"/>
    <x v="38"/>
    <x v="0"/>
    <s v="user42@example.com"/>
  </r>
  <r>
    <x v="39"/>
    <s v="Bob Johnson"/>
    <x v="1"/>
    <x v="3"/>
    <n v="66280.929577464791"/>
    <n v="4"/>
    <x v="29"/>
    <x v="1"/>
    <s v="user89@example.com"/>
  </r>
  <r>
    <x v="40"/>
    <s v="Alice Brown"/>
    <x v="3"/>
    <x v="0"/>
    <n v="33956"/>
    <n v="2.879032258064516"/>
    <x v="39"/>
    <x v="0"/>
    <s v="user47@example.com"/>
  </r>
  <r>
    <x v="41"/>
    <s v="Bob Johnson"/>
    <x v="4"/>
    <x v="4"/>
    <n v="64913"/>
    <n v="1"/>
    <x v="40"/>
    <x v="1"/>
    <s v="user175@example.com"/>
  </r>
  <r>
    <x v="42"/>
    <s v="Alice Brown"/>
    <x v="4"/>
    <x v="4"/>
    <n v="35326"/>
    <n v="2.879032258064516"/>
    <x v="41"/>
    <x v="0"/>
    <s v="user57@example.com"/>
  </r>
  <r>
    <x v="43"/>
    <s v="Chris Lee"/>
    <x v="1"/>
    <x v="2"/>
    <n v="81610"/>
    <n v="1"/>
    <x v="42"/>
    <x v="0"/>
    <s v="user20@example.com"/>
  </r>
  <r>
    <x v="44"/>
    <s v="Unknown"/>
    <x v="0"/>
    <x v="2"/>
    <n v="58962"/>
    <n v="3"/>
    <x v="43"/>
    <x v="2"/>
    <s v="user106@example.com"/>
  </r>
  <r>
    <x v="45"/>
    <s v="Chris Lee"/>
    <x v="3"/>
    <x v="0"/>
    <n v="92701"/>
    <n v="3"/>
    <x v="44"/>
    <x v="0"/>
    <s v="user199@example.com"/>
  </r>
  <r>
    <x v="46"/>
    <s v="Chris Lee"/>
    <x v="0"/>
    <x v="2"/>
    <n v="58245"/>
    <n v="4"/>
    <x v="45"/>
    <x v="0"/>
    <s v="user43@example.com"/>
  </r>
  <r>
    <x v="47"/>
    <s v="John Doe"/>
    <x v="1"/>
    <x v="2"/>
    <n v="66513"/>
    <n v="2"/>
    <x v="46"/>
    <x v="1"/>
    <s v="user24@example.com"/>
  </r>
  <r>
    <x v="48"/>
    <s v="Eve Adams"/>
    <x v="0"/>
    <x v="0"/>
    <n v="78720"/>
    <n v="5"/>
    <x v="47"/>
    <x v="0"/>
    <s v="user89@example.com"/>
  </r>
  <r>
    <x v="49"/>
    <s v="Chris Lee"/>
    <x v="4"/>
    <x v="2"/>
    <n v="30686"/>
    <n v="2"/>
    <x v="29"/>
    <x v="0"/>
    <s v="user95@example.com"/>
  </r>
  <r>
    <x v="50"/>
    <s v="Sam Wilson"/>
    <x v="2"/>
    <x v="2"/>
    <n v="39423"/>
    <n v="5"/>
    <x v="48"/>
    <x v="1"/>
    <s v="user59@example.com"/>
  </r>
  <r>
    <x v="51"/>
    <s v="Eve Adams"/>
    <x v="4"/>
    <x v="2"/>
    <n v="30280"/>
    <n v="1"/>
    <x v="49"/>
    <x v="0"/>
    <s v="user152@example.com"/>
  </r>
  <r>
    <x v="52"/>
    <s v="Eve Adams"/>
    <x v="1"/>
    <x v="3"/>
    <n v="33352"/>
    <n v="3"/>
    <x v="50"/>
    <x v="0"/>
    <s v="user200@example.com"/>
  </r>
  <r>
    <x v="53"/>
    <s v="Bob Johnson"/>
    <x v="4"/>
    <x v="3"/>
    <n v="75633"/>
    <n v="5"/>
    <x v="51"/>
    <x v="1"/>
    <s v="user92@example.com"/>
  </r>
  <r>
    <x v="54"/>
    <s v="Chris Lee"/>
    <x v="4"/>
    <x v="1"/>
    <n v="74815"/>
    <n v="5"/>
    <x v="52"/>
    <x v="0"/>
    <s v="user50@example.com"/>
  </r>
  <r>
    <x v="55"/>
    <s v="John Doe"/>
    <x v="2"/>
    <x v="4"/>
    <n v="60011"/>
    <n v="1"/>
    <x v="53"/>
    <x v="1"/>
    <s v="user63@example.com"/>
  </r>
  <r>
    <x v="56"/>
    <s v="Eve Adams"/>
    <x v="4"/>
    <x v="2"/>
    <n v="96949"/>
    <n v="3"/>
    <x v="54"/>
    <x v="0"/>
    <s v="user103@example.com"/>
  </r>
  <r>
    <x v="57"/>
    <s v="Sam Wilson"/>
    <x v="4"/>
    <x v="2"/>
    <n v="84924"/>
    <n v="5"/>
    <x v="55"/>
    <x v="1"/>
    <s v="user150@example.com"/>
  </r>
  <r>
    <x v="58"/>
    <s v="Sam Wilson"/>
    <x v="1"/>
    <x v="1"/>
    <n v="82033"/>
    <n v="1"/>
    <x v="56"/>
    <x v="1"/>
    <s v="user20@example.com"/>
  </r>
  <r>
    <x v="59"/>
    <s v="Unknown"/>
    <x v="4"/>
    <x v="0"/>
    <n v="66280.929577464791"/>
    <n v="5"/>
    <x v="29"/>
    <x v="2"/>
    <s v="user112@example.com"/>
  </r>
  <r>
    <x v="60"/>
    <s v="Eve Adams"/>
    <x v="4"/>
    <x v="4"/>
    <n v="31499"/>
    <n v="2"/>
    <x v="57"/>
    <x v="0"/>
    <s v="user31@example.com"/>
  </r>
  <r>
    <x v="61"/>
    <s v="Chris Lee"/>
    <x v="3"/>
    <x v="3"/>
    <n v="97981"/>
    <n v="5"/>
    <x v="58"/>
    <x v="0"/>
    <s v="user71@example.com"/>
  </r>
  <r>
    <x v="62"/>
    <s v="Eve Adams"/>
    <x v="0"/>
    <x v="1"/>
    <n v="36541"/>
    <n v="2"/>
    <x v="59"/>
    <x v="0"/>
    <s v="user97@example.com"/>
  </r>
  <r>
    <x v="63"/>
    <s v="John Doe"/>
    <x v="3"/>
    <x v="2"/>
    <n v="84737"/>
    <n v="1"/>
    <x v="60"/>
    <x v="1"/>
    <s v="user141@example.com"/>
  </r>
  <r>
    <x v="64"/>
    <s v="Sam Wilson"/>
    <x v="1"/>
    <x v="2"/>
    <n v="33468"/>
    <n v="4"/>
    <x v="61"/>
    <x v="1"/>
    <s v="user125@example.com"/>
  </r>
  <r>
    <x v="65"/>
    <s v="Sam Wilson"/>
    <x v="4"/>
    <x v="4"/>
    <n v="96365"/>
    <n v="3"/>
    <x v="62"/>
    <x v="1"/>
    <s v="user90@example.com"/>
  </r>
  <r>
    <x v="66"/>
    <s v="Alice Brown"/>
    <x v="2"/>
    <x v="2"/>
    <n v="61942"/>
    <n v="3"/>
    <x v="63"/>
    <x v="0"/>
    <s v="user192@example.com"/>
  </r>
  <r>
    <x v="67"/>
    <s v="Sam Wilson"/>
    <x v="1"/>
    <x v="3"/>
    <n v="41467"/>
    <n v="2"/>
    <x v="64"/>
    <x v="1"/>
    <s v="user77@example.com"/>
  </r>
  <r>
    <x v="68"/>
    <s v="Bob Johnson"/>
    <x v="1"/>
    <x v="2"/>
    <n v="77096"/>
    <n v="1"/>
    <x v="65"/>
    <x v="1"/>
    <s v="user65@example.com"/>
  </r>
  <r>
    <x v="69"/>
    <s v="Eve Adams"/>
    <x v="2"/>
    <x v="4"/>
    <n v="69952"/>
    <n v="5"/>
    <x v="66"/>
    <x v="0"/>
    <s v="Unknown"/>
  </r>
  <r>
    <x v="70"/>
    <s v="Eve Adams"/>
    <x v="4"/>
    <x v="1"/>
    <n v="85065"/>
    <n v="3"/>
    <x v="67"/>
    <x v="0"/>
    <s v="user142@example.com"/>
  </r>
  <r>
    <x v="71"/>
    <s v="Bob Johnson"/>
    <x v="4"/>
    <x v="2"/>
    <n v="56512"/>
    <n v="2.879032258064516"/>
    <x v="68"/>
    <x v="1"/>
    <s v="user153@example.com"/>
  </r>
  <r>
    <x v="72"/>
    <s v="John Doe"/>
    <x v="2"/>
    <x v="2"/>
    <n v="91101"/>
    <n v="4"/>
    <x v="69"/>
    <x v="0"/>
    <s v="user71@example.com"/>
  </r>
  <r>
    <x v="73"/>
    <s v="Sam Wilson"/>
    <x v="4"/>
    <x v="0"/>
    <n v="41243"/>
    <n v="2.879032258064516"/>
    <x v="70"/>
    <x v="1"/>
    <s v="user143@example.com"/>
  </r>
  <r>
    <x v="74"/>
    <s v="Unknown"/>
    <x v="2"/>
    <x v="2"/>
    <n v="96142"/>
    <n v="1"/>
    <x v="29"/>
    <x v="2"/>
    <s v="user17@example.com"/>
  </r>
  <r>
    <x v="75"/>
    <s v="Eve Adams"/>
    <x v="3"/>
    <x v="2"/>
    <n v="94301"/>
    <n v="1"/>
    <x v="71"/>
    <x v="0"/>
    <s v="user20@example.com"/>
  </r>
  <r>
    <x v="76"/>
    <s v="Jane Smith"/>
    <x v="4"/>
    <x v="3"/>
    <n v="69166"/>
    <n v="1"/>
    <x v="72"/>
    <x v="0"/>
    <s v="user22@example.com"/>
  </r>
  <r>
    <x v="77"/>
    <s v="Sam Wilson"/>
    <x v="4"/>
    <x v="3"/>
    <n v="78245"/>
    <n v="2"/>
    <x v="73"/>
    <x v="1"/>
    <s v="user46@example.com"/>
  </r>
  <r>
    <x v="78"/>
    <s v="Chris Lee"/>
    <x v="2"/>
    <x v="1"/>
    <n v="66079"/>
    <n v="2"/>
    <x v="74"/>
    <x v="1"/>
    <s v="user55@example.com"/>
  </r>
  <r>
    <x v="79"/>
    <s v="Eve Adams"/>
    <x v="4"/>
    <x v="2"/>
    <n v="66280.929577464791"/>
    <n v="2.879032258064516"/>
    <x v="29"/>
    <x v="0"/>
    <s v="user135@example.com"/>
  </r>
  <r>
    <x v="80"/>
    <s v="Jane Smith"/>
    <x v="2"/>
    <x v="1"/>
    <n v="95621"/>
    <n v="3"/>
    <x v="75"/>
    <x v="0"/>
    <s v="user156@example.com"/>
  </r>
  <r>
    <x v="81"/>
    <s v="Eve Adams"/>
    <x v="3"/>
    <x v="3"/>
    <n v="42262"/>
    <n v="1"/>
    <x v="76"/>
    <x v="0"/>
    <s v="user104@example.com"/>
  </r>
  <r>
    <x v="82"/>
    <s v="Sam Wilson"/>
    <x v="2"/>
    <x v="2"/>
    <n v="99621"/>
    <n v="2.879032258064516"/>
    <x v="77"/>
    <x v="1"/>
    <s v="user145@example.com"/>
  </r>
  <r>
    <x v="83"/>
    <s v="John Doe"/>
    <x v="4"/>
    <x v="2"/>
    <n v="44682"/>
    <n v="4"/>
    <x v="78"/>
    <x v="0"/>
    <s v="user47@example.com"/>
  </r>
  <r>
    <x v="84"/>
    <s v="Chris Lee"/>
    <x v="1"/>
    <x v="2"/>
    <n v="35163"/>
    <n v="5"/>
    <x v="79"/>
    <x v="1"/>
    <s v="user197@example.com"/>
  </r>
  <r>
    <x v="85"/>
    <s v="Chris Lee"/>
    <x v="3"/>
    <x v="2"/>
    <n v="33483"/>
    <n v="4"/>
    <x v="80"/>
    <x v="1"/>
    <s v="user177@example.com"/>
  </r>
  <r>
    <x v="86"/>
    <s v="Sam Wilson"/>
    <x v="0"/>
    <x v="0"/>
    <n v="55303"/>
    <n v="4"/>
    <x v="81"/>
    <x v="1"/>
    <s v="user149@example.com"/>
  </r>
  <r>
    <x v="87"/>
    <s v="Chris Lee"/>
    <x v="3"/>
    <x v="2"/>
    <n v="63434"/>
    <n v="3"/>
    <x v="82"/>
    <x v="0"/>
    <s v="user48@example.com"/>
  </r>
  <r>
    <x v="88"/>
    <s v="Jane Smith"/>
    <x v="4"/>
    <x v="4"/>
    <n v="38830"/>
    <n v="3"/>
    <x v="83"/>
    <x v="0"/>
    <s v="user149@example.com"/>
  </r>
  <r>
    <x v="89"/>
    <s v="Unknown"/>
    <x v="4"/>
    <x v="3"/>
    <n v="50741"/>
    <n v="3"/>
    <x v="84"/>
    <x v="2"/>
    <s v="user65@example.com"/>
  </r>
  <r>
    <x v="90"/>
    <s v="Alice Brown"/>
    <x v="0"/>
    <x v="4"/>
    <n v="69420"/>
    <n v="1"/>
    <x v="85"/>
    <x v="0"/>
    <s v="user43@example.com"/>
  </r>
  <r>
    <x v="91"/>
    <s v="Jane Smith"/>
    <x v="3"/>
    <x v="2"/>
    <n v="80588"/>
    <n v="5"/>
    <x v="86"/>
    <x v="0"/>
    <s v="user98@example.com"/>
  </r>
  <r>
    <x v="92"/>
    <s v="Alice Brown"/>
    <x v="4"/>
    <x v="1"/>
    <n v="76238"/>
    <n v="4"/>
    <x v="87"/>
    <x v="0"/>
    <s v="user102@example.com"/>
  </r>
  <r>
    <x v="93"/>
    <s v="Bob Johnson"/>
    <x v="3"/>
    <x v="2"/>
    <n v="33264"/>
    <n v="2.879032258064516"/>
    <x v="88"/>
    <x v="1"/>
    <s v="user148@example.com"/>
  </r>
  <r>
    <x v="94"/>
    <s v="Alice Brown"/>
    <x v="1"/>
    <x v="4"/>
    <n v="96101"/>
    <n v="2.879032258064516"/>
    <x v="89"/>
    <x v="0"/>
    <s v="user155@example.com"/>
  </r>
  <r>
    <x v="95"/>
    <s v="Jane Smith"/>
    <x v="1"/>
    <x v="1"/>
    <n v="72939"/>
    <n v="3"/>
    <x v="90"/>
    <x v="0"/>
    <s v="user191@example.com"/>
  </r>
  <r>
    <x v="96"/>
    <s v="Sam Wilson"/>
    <x v="0"/>
    <x v="0"/>
    <n v="89333"/>
    <n v="1"/>
    <x v="91"/>
    <x v="1"/>
    <s v="user113@example.com"/>
  </r>
  <r>
    <x v="97"/>
    <s v="Bob Johnson"/>
    <x v="3"/>
    <x v="4"/>
    <n v="70470"/>
    <n v="2.879032258064516"/>
    <x v="92"/>
    <x v="1"/>
    <s v="user62@example.com"/>
  </r>
  <r>
    <x v="98"/>
    <s v="Eve Adams"/>
    <x v="4"/>
    <x v="1"/>
    <n v="70096"/>
    <n v="4"/>
    <x v="93"/>
    <x v="0"/>
    <s v="user76@example.com"/>
  </r>
  <r>
    <x v="99"/>
    <s v="Bob Johnson"/>
    <x v="4"/>
    <x v="2"/>
    <n v="66280.929577464791"/>
    <n v="2"/>
    <x v="94"/>
    <x v="1"/>
    <s v="user40@example.com"/>
  </r>
  <r>
    <x v="100"/>
    <s v="Bob Johnson"/>
    <x v="3"/>
    <x v="0"/>
    <n v="66503"/>
    <n v="2.879032258064516"/>
    <x v="95"/>
    <x v="1"/>
    <s v="user200@example.com"/>
  </r>
  <r>
    <x v="101"/>
    <s v="Alice Brown"/>
    <x v="0"/>
    <x v="0"/>
    <n v="42096"/>
    <n v="2.879032258064516"/>
    <x v="96"/>
    <x v="0"/>
    <s v="user54@example.com"/>
  </r>
  <r>
    <x v="102"/>
    <s v="Alice Brown"/>
    <x v="4"/>
    <x v="2"/>
    <n v="79145"/>
    <n v="5"/>
    <x v="97"/>
    <x v="0"/>
    <s v="user20@example.com"/>
  </r>
  <r>
    <x v="103"/>
    <s v="Jane Smith"/>
    <x v="4"/>
    <x v="4"/>
    <n v="61556"/>
    <n v="1"/>
    <x v="98"/>
    <x v="0"/>
    <s v="user40@example.com"/>
  </r>
  <r>
    <x v="104"/>
    <s v="Unknown"/>
    <x v="0"/>
    <x v="3"/>
    <n v="87963"/>
    <n v="3"/>
    <x v="99"/>
    <x v="2"/>
    <s v="Unknown"/>
  </r>
  <r>
    <x v="105"/>
    <s v="Eve Adams"/>
    <x v="3"/>
    <x v="2"/>
    <n v="48325"/>
    <n v="2.879032258064516"/>
    <x v="100"/>
    <x v="0"/>
    <s v="user189@example.com"/>
  </r>
  <r>
    <x v="106"/>
    <s v="Sam Wilson"/>
    <x v="4"/>
    <x v="4"/>
    <n v="86412"/>
    <n v="2"/>
    <x v="101"/>
    <x v="1"/>
    <s v="user128@example.com"/>
  </r>
  <r>
    <x v="107"/>
    <s v="Sam Wilson"/>
    <x v="0"/>
    <x v="2"/>
    <n v="66761"/>
    <n v="1"/>
    <x v="102"/>
    <x v="1"/>
    <s v="user93@example.com"/>
  </r>
  <r>
    <x v="108"/>
    <s v="Jane Smith"/>
    <x v="4"/>
    <x v="2"/>
    <n v="88850"/>
    <n v="1"/>
    <x v="103"/>
    <x v="0"/>
    <s v="user174@example.com"/>
  </r>
  <r>
    <x v="109"/>
    <s v="Chris Lee"/>
    <x v="2"/>
    <x v="2"/>
    <n v="31293"/>
    <n v="2"/>
    <x v="29"/>
    <x v="0"/>
    <s v="user44@example.com"/>
  </r>
  <r>
    <x v="110"/>
    <s v="Chris Lee"/>
    <x v="3"/>
    <x v="1"/>
    <n v="34306"/>
    <n v="5"/>
    <x v="104"/>
    <x v="0"/>
    <s v="user192@example.com"/>
  </r>
  <r>
    <x v="111"/>
    <s v="Eve Adams"/>
    <x v="1"/>
    <x v="2"/>
    <n v="78330"/>
    <n v="2.879032258064516"/>
    <x v="105"/>
    <x v="0"/>
    <s v="user76@example.com"/>
  </r>
  <r>
    <x v="112"/>
    <s v="Alice Brown"/>
    <x v="3"/>
    <x v="1"/>
    <n v="47653"/>
    <n v="1"/>
    <x v="106"/>
    <x v="0"/>
    <s v="user82@example.com"/>
  </r>
  <r>
    <x v="113"/>
    <s v="Eve Adams"/>
    <x v="4"/>
    <x v="3"/>
    <n v="44627"/>
    <n v="4"/>
    <x v="107"/>
    <x v="0"/>
    <s v="user97@example.com"/>
  </r>
  <r>
    <x v="114"/>
    <s v="Bob Johnson"/>
    <x v="0"/>
    <x v="0"/>
    <n v="92343"/>
    <n v="4"/>
    <x v="108"/>
    <x v="1"/>
    <s v="user149@example.com"/>
  </r>
  <r>
    <x v="115"/>
    <s v="Bob Johnson"/>
    <x v="4"/>
    <x v="4"/>
    <n v="38837"/>
    <n v="5"/>
    <x v="109"/>
    <x v="1"/>
    <s v="user192@example.com"/>
  </r>
  <r>
    <x v="116"/>
    <s v="Bob Johnson"/>
    <x v="4"/>
    <x v="2"/>
    <n v="73483"/>
    <n v="1"/>
    <x v="110"/>
    <x v="1"/>
    <s v="user137@example.com"/>
  </r>
  <r>
    <x v="117"/>
    <s v="Chris Lee"/>
    <x v="2"/>
    <x v="2"/>
    <n v="95032"/>
    <n v="3"/>
    <x v="111"/>
    <x v="0"/>
    <s v="user23@example.com"/>
  </r>
  <r>
    <x v="118"/>
    <s v="Eve Adams"/>
    <x v="2"/>
    <x v="4"/>
    <n v="44358"/>
    <n v="2.879032258064516"/>
    <x v="112"/>
    <x v="0"/>
    <s v="user200@example.com"/>
  </r>
  <r>
    <x v="119"/>
    <s v="Unknown"/>
    <x v="3"/>
    <x v="1"/>
    <n v="66280.929577464791"/>
    <n v="5"/>
    <x v="29"/>
    <x v="2"/>
    <s v="user101@example.com"/>
  </r>
  <r>
    <x v="120"/>
    <s v="Chris Lee"/>
    <x v="2"/>
    <x v="1"/>
    <n v="45676"/>
    <n v="2"/>
    <x v="113"/>
    <x v="0"/>
    <s v="user132@example.com"/>
  </r>
  <r>
    <x v="121"/>
    <s v="Bob Johnson"/>
    <x v="2"/>
    <x v="0"/>
    <n v="52036"/>
    <n v="3"/>
    <x v="114"/>
    <x v="1"/>
    <s v="user171@example.com"/>
  </r>
  <r>
    <x v="122"/>
    <s v="Jane Smith"/>
    <x v="4"/>
    <x v="0"/>
    <n v="30357"/>
    <n v="5"/>
    <x v="115"/>
    <x v="0"/>
    <s v="user145@example.com"/>
  </r>
  <r>
    <x v="123"/>
    <s v="John Doe"/>
    <x v="3"/>
    <x v="2"/>
    <n v="60034"/>
    <n v="1"/>
    <x v="116"/>
    <x v="0"/>
    <s v="user75@example.com"/>
  </r>
  <r>
    <x v="124"/>
    <s v="John Doe"/>
    <x v="1"/>
    <x v="2"/>
    <n v="90019"/>
    <n v="5"/>
    <x v="117"/>
    <x v="1"/>
    <s v="user52@example.com"/>
  </r>
  <r>
    <x v="125"/>
    <s v="Bob Johnson"/>
    <x v="4"/>
    <x v="0"/>
    <n v="71494"/>
    <n v="3"/>
    <x v="118"/>
    <x v="1"/>
    <s v="user100@example.com"/>
  </r>
  <r>
    <x v="126"/>
    <s v="John Doe"/>
    <x v="1"/>
    <x v="1"/>
    <n v="91953"/>
    <n v="2"/>
    <x v="119"/>
    <x v="1"/>
    <s v="user83@example.com"/>
  </r>
  <r>
    <x v="127"/>
    <s v="Chris Lee"/>
    <x v="2"/>
    <x v="1"/>
    <n v="30402"/>
    <n v="1"/>
    <x v="120"/>
    <x v="0"/>
    <s v="user167@example.com"/>
  </r>
  <r>
    <x v="128"/>
    <s v="Bob Johnson"/>
    <x v="4"/>
    <x v="3"/>
    <n v="62994"/>
    <n v="2.879032258064516"/>
    <x v="121"/>
    <x v="1"/>
    <s v="user175@example.com"/>
  </r>
  <r>
    <x v="129"/>
    <s v="Alice Brown"/>
    <x v="2"/>
    <x v="2"/>
    <n v="48289"/>
    <n v="3"/>
    <x v="29"/>
    <x v="0"/>
    <s v="user25@example.com"/>
  </r>
  <r>
    <x v="130"/>
    <s v="Sam Wilson"/>
    <x v="4"/>
    <x v="0"/>
    <n v="34402"/>
    <n v="3"/>
    <x v="122"/>
    <x v="1"/>
    <s v="user42@example.com"/>
  </r>
  <r>
    <x v="131"/>
    <s v="Eve Adams"/>
    <x v="0"/>
    <x v="1"/>
    <n v="38678"/>
    <n v="3"/>
    <x v="123"/>
    <x v="0"/>
    <s v="user188@example.com"/>
  </r>
  <r>
    <x v="132"/>
    <s v="Chris Lee"/>
    <x v="0"/>
    <x v="0"/>
    <n v="45758"/>
    <n v="3"/>
    <x v="124"/>
    <x v="0"/>
    <s v="user44@example.com"/>
  </r>
  <r>
    <x v="133"/>
    <s v="Eve Adams"/>
    <x v="4"/>
    <x v="2"/>
    <n v="62476"/>
    <n v="1"/>
    <x v="125"/>
    <x v="0"/>
    <s v="user63@example.com"/>
  </r>
  <r>
    <x v="134"/>
    <s v="Unknown"/>
    <x v="3"/>
    <x v="3"/>
    <n v="39280"/>
    <n v="3"/>
    <x v="126"/>
    <x v="2"/>
    <s v="user198@example.com"/>
  </r>
  <r>
    <x v="135"/>
    <s v="Jane Smith"/>
    <x v="1"/>
    <x v="2"/>
    <n v="60335"/>
    <n v="4"/>
    <x v="127"/>
    <x v="0"/>
    <s v="user59@example.com"/>
  </r>
  <r>
    <x v="136"/>
    <s v="Chris Lee"/>
    <x v="0"/>
    <x v="0"/>
    <n v="84968"/>
    <n v="2.879032258064516"/>
    <x v="128"/>
    <x v="0"/>
    <s v="user165@example.com"/>
  </r>
  <r>
    <x v="137"/>
    <s v="Chris Lee"/>
    <x v="4"/>
    <x v="4"/>
    <n v="84750"/>
    <n v="4"/>
    <x v="129"/>
    <x v="0"/>
    <s v="user3@example.com"/>
  </r>
  <r>
    <x v="138"/>
    <s v="Bob Johnson"/>
    <x v="3"/>
    <x v="2"/>
    <n v="73348"/>
    <n v="2"/>
    <x v="130"/>
    <x v="1"/>
    <s v="user22@example.com"/>
  </r>
  <r>
    <x v="139"/>
    <s v="Chris Lee"/>
    <x v="2"/>
    <x v="1"/>
    <n v="66280.929577464791"/>
    <n v="4"/>
    <x v="131"/>
    <x v="1"/>
    <s v="Unknown"/>
  </r>
  <r>
    <x v="140"/>
    <s v="Jane Smith"/>
    <x v="4"/>
    <x v="1"/>
    <n v="66882"/>
    <n v="5"/>
    <x v="132"/>
    <x v="0"/>
    <s v="user103@example.com"/>
  </r>
  <r>
    <x v="141"/>
    <s v="Alice Brown"/>
    <x v="4"/>
    <x v="2"/>
    <n v="86775"/>
    <n v="3"/>
    <x v="133"/>
    <x v="0"/>
    <s v="user190@example.com"/>
  </r>
  <r>
    <x v="142"/>
    <s v="Chris Lee"/>
    <x v="2"/>
    <x v="3"/>
    <n v="91620"/>
    <n v="2.879032258064516"/>
    <x v="134"/>
    <x v="0"/>
    <s v="user114@example.com"/>
  </r>
  <r>
    <x v="143"/>
    <s v="Eve Adams"/>
    <x v="4"/>
    <x v="2"/>
    <n v="94148"/>
    <n v="2"/>
    <x v="135"/>
    <x v="0"/>
    <s v="user53@example.com"/>
  </r>
  <r>
    <x v="144"/>
    <s v="Sam Wilson"/>
    <x v="2"/>
    <x v="4"/>
    <n v="35627"/>
    <n v="5"/>
    <x v="136"/>
    <x v="1"/>
    <s v="user188@example.com"/>
  </r>
  <r>
    <x v="145"/>
    <s v="John Doe"/>
    <x v="4"/>
    <x v="1"/>
    <n v="57141"/>
    <n v="2"/>
    <x v="137"/>
    <x v="1"/>
    <s v="user165@example.com"/>
  </r>
  <r>
    <x v="146"/>
    <s v="Bob Johnson"/>
    <x v="2"/>
    <x v="4"/>
    <n v="65270"/>
    <n v="1"/>
    <x v="138"/>
    <x v="1"/>
    <s v="user163@example.com"/>
  </r>
  <r>
    <x v="147"/>
    <s v="Bob Johnson"/>
    <x v="4"/>
    <x v="3"/>
    <n v="67335"/>
    <n v="1"/>
    <x v="139"/>
    <x v="1"/>
    <s v="user112@example.com"/>
  </r>
  <r>
    <x v="148"/>
    <s v="Sam Wilson"/>
    <x v="4"/>
    <x v="2"/>
    <n v="98475"/>
    <n v="5"/>
    <x v="140"/>
    <x v="1"/>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28A98-0689-4B3D-BB84-EBA392E97C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3:B36" firstHeaderRow="1" firstDataRow="1" firstDataCol="1"/>
  <pivotFields count="12">
    <pivotField showAll="0"/>
    <pivotField showAll="0"/>
    <pivotField showAll="0">
      <items count="6">
        <item x="1"/>
        <item x="0"/>
        <item x="3"/>
        <item x="4"/>
        <item x="2"/>
        <item t="default"/>
      </items>
    </pivotField>
    <pivotField showAll="0">
      <items count="6">
        <item x="4"/>
        <item x="0"/>
        <item x="2"/>
        <item x="3"/>
        <item x="1"/>
        <item t="default"/>
      </items>
    </pivotField>
    <pivotField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erformance Rating" fld="5" baseField="0" baseItem="0" numFmtId="1"/>
  </dataField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EFBE0-A9A1-4328-85D1-4DF448B897A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1:C17" firstHeaderRow="0"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Salary" fld="4" subtotal="average" baseField="0" baseItem="0" numFmtId="1"/>
    <dataField name="Sum of Performance Rating" fld="5" baseField="0" baseItem="0" numFmtId="1"/>
  </dataFields>
  <chartFormats count="2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0" format="19" series="1">
      <pivotArea type="data" outline="0" fieldPosition="0">
        <references count="1">
          <reference field="4294967294" count="1" selected="0">
            <x v="0"/>
          </reference>
        </references>
      </pivotArea>
    </chartFormat>
    <chartFormat chart="20" format="20" series="1">
      <pivotArea type="data" outline="0" fieldPosition="0">
        <references count="1">
          <reference field="4294967294" count="1" selected="0">
            <x v="1"/>
          </reference>
        </references>
      </pivotArea>
    </chartFormat>
    <chartFormat chart="20" format="21">
      <pivotArea type="data" outline="0" fieldPosition="0">
        <references count="2">
          <reference field="4294967294" count="1" selected="0">
            <x v="1"/>
          </reference>
          <reference field="2" count="1" selected="0">
            <x v="0"/>
          </reference>
        </references>
      </pivotArea>
    </chartFormat>
    <chartFormat chart="20" format="22">
      <pivotArea type="data" outline="0" fieldPosition="0">
        <references count="2">
          <reference field="4294967294" count="1" selected="0">
            <x v="1"/>
          </reference>
          <reference field="2" count="1" selected="0">
            <x v="1"/>
          </reference>
        </references>
      </pivotArea>
    </chartFormat>
    <chartFormat chart="20" format="23">
      <pivotArea type="data" outline="0" fieldPosition="0">
        <references count="2">
          <reference field="4294967294" count="1" selected="0">
            <x v="1"/>
          </reference>
          <reference field="2" count="1" selected="0">
            <x v="2"/>
          </reference>
        </references>
      </pivotArea>
    </chartFormat>
    <chartFormat chart="20" format="24">
      <pivotArea type="data" outline="0" fieldPosition="0">
        <references count="2">
          <reference field="4294967294" count="1" selected="0">
            <x v="1"/>
          </reference>
          <reference field="2" count="1" selected="0">
            <x v="3"/>
          </reference>
        </references>
      </pivotArea>
    </chartFormat>
    <chartFormat chart="20" format="25">
      <pivotArea type="data" outline="0" fieldPosition="0">
        <references count="2">
          <reference field="4294967294" count="1" selected="0">
            <x v="1"/>
          </reference>
          <reference field="2"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1"/>
          </reference>
        </references>
      </pivotArea>
    </chartFormat>
    <chartFormat chart="7" format="21">
      <pivotArea type="data" outline="0" fieldPosition="0">
        <references count="2">
          <reference field="4294967294" count="1" selected="0">
            <x v="1"/>
          </reference>
          <reference field="2" count="1" selected="0">
            <x v="1"/>
          </reference>
        </references>
      </pivotArea>
    </chartFormat>
    <chartFormat chart="36" format="22" series="1">
      <pivotArea type="data" outline="0" fieldPosition="0">
        <references count="1">
          <reference field="4294967294" count="1" selected="0">
            <x v="0"/>
          </reference>
        </references>
      </pivotArea>
    </chartFormat>
    <chartFormat chart="36" format="23" series="1">
      <pivotArea type="data" outline="0" fieldPosition="0">
        <references count="1">
          <reference field="4294967294" count="1" selected="0">
            <x v="1"/>
          </reference>
        </references>
      </pivotArea>
    </chartFormat>
    <chartFormat chart="36" format="24">
      <pivotArea type="data" outline="0" fieldPosition="0">
        <references count="2">
          <reference field="4294967294" count="1" selected="0">
            <x v="1"/>
          </reference>
          <reference field="2" count="1" selected="0">
            <x v="1"/>
          </reference>
        </references>
      </pivotArea>
    </chartFormat>
    <chartFormat chart="37" format="25" series="1">
      <pivotArea type="data" outline="0" fieldPosition="0">
        <references count="1">
          <reference field="4294967294" count="1" selected="0">
            <x v="0"/>
          </reference>
        </references>
      </pivotArea>
    </chartFormat>
    <chartFormat chart="37" format="26" series="1">
      <pivotArea type="data" outline="0" fieldPosition="0">
        <references count="1">
          <reference field="4294967294" count="1" selected="0">
            <x v="1"/>
          </reference>
        </references>
      </pivotArea>
    </chartFormat>
    <chartFormat chart="37" format="27">
      <pivotArea type="data" outline="0" fieldPosition="0">
        <references count="2">
          <reference field="4294967294" count="1" selected="0">
            <x v="1"/>
          </reference>
          <reference field="2" count="1" selected="0">
            <x v="1"/>
          </reference>
        </references>
      </pivotArea>
    </chartFormat>
    <chartFormat chart="38" format="28" series="1">
      <pivotArea type="data" outline="0" fieldPosition="0">
        <references count="1">
          <reference field="4294967294" count="1" selected="0">
            <x v="0"/>
          </reference>
        </references>
      </pivotArea>
    </chartFormat>
    <chartFormat chart="38" format="29" series="1">
      <pivotArea type="data" outline="0" fieldPosition="0">
        <references count="1">
          <reference field="4294967294" count="1" selected="0">
            <x v="1"/>
          </reference>
        </references>
      </pivotArea>
    </chartFormat>
    <chartFormat chart="38" format="30">
      <pivotArea type="data" outline="0" fieldPosition="0">
        <references count="2">
          <reference field="4294967294" count="1" selected="0">
            <x v="1"/>
          </reference>
          <reference field="2" count="1" selected="0">
            <x v="1"/>
          </reference>
        </references>
      </pivotArea>
    </chartFormat>
    <chartFormat chart="39" format="28" series="1">
      <pivotArea type="data" outline="0" fieldPosition="0">
        <references count="1">
          <reference field="4294967294" count="1" selected="0">
            <x v="0"/>
          </reference>
        </references>
      </pivotArea>
    </chartFormat>
    <chartFormat chart="39" format="29" series="1">
      <pivotArea type="data" outline="0" fieldPosition="0">
        <references count="1">
          <reference field="4294967294" count="1" selected="0">
            <x v="1"/>
          </reference>
        </references>
      </pivotArea>
    </chartFormat>
    <chartFormat chart="39" format="30">
      <pivotArea type="data" outline="0" fieldPosition="0">
        <references count="2">
          <reference field="4294967294" count="1" selected="0">
            <x v="1"/>
          </reference>
          <reference field="2" count="1" selected="0">
            <x v="1"/>
          </reference>
        </references>
      </pivotArea>
    </chartFormat>
    <chartFormat chart="39" format="31">
      <pivotArea type="data" outline="0" fieldPosition="0">
        <references count="2">
          <reference field="4294967294" count="1" selected="0">
            <x v="1"/>
          </reference>
          <reference field="2" count="1" selected="0">
            <x v="3"/>
          </reference>
        </references>
      </pivotArea>
    </chartFormat>
    <chartFormat chart="39" format="32">
      <pivotArea type="data" outline="0" fieldPosition="0">
        <references count="2">
          <reference field="4294967294" count="1" selected="0">
            <x v="1"/>
          </reference>
          <reference field="2" count="1" selected="0">
            <x v="0"/>
          </reference>
        </references>
      </pivotArea>
    </chartFormat>
    <chartFormat chart="39" format="33">
      <pivotArea type="data" outline="0" fieldPosition="0">
        <references count="2">
          <reference field="4294967294" count="1" selected="0">
            <x v="1"/>
          </reference>
          <reference field="2" count="1" selected="0">
            <x v="2"/>
          </reference>
        </references>
      </pivotArea>
    </chartFormat>
    <chartFormat chart="39" format="34">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8FA2D9-29B0-4B45-A7D5-8F26D68C94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7"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Salary" fld="4"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60FAA-B856-4DAA-B5D1-B5B3A677FF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E7"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erformance Rating"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5A585-64AD-4459-996F-634C82C109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41:E48" firstHeaderRow="1" firstDataRow="2"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2"/>
  </rowFields>
  <rowItems count="6">
    <i>
      <x/>
    </i>
    <i>
      <x v="1"/>
    </i>
    <i>
      <x v="2"/>
    </i>
    <i>
      <x v="3"/>
    </i>
    <i>
      <x v="4"/>
    </i>
    <i t="grand">
      <x/>
    </i>
  </rowItems>
  <colFields count="1">
    <field x="11"/>
  </colFields>
  <colItems count="4">
    <i>
      <x v="1"/>
    </i>
    <i>
      <x v="2"/>
    </i>
    <i>
      <x v="3"/>
    </i>
    <i t="grand">
      <x/>
    </i>
  </colItems>
  <dataFields count="1">
    <dataField name="Sum of Salary" fld="4" baseField="0" baseItem="0" numFmtId="1"/>
  </dataFields>
  <chartFormats count="6">
    <chartFormat chart="42" format="0" series="1">
      <pivotArea type="data" outline="0" fieldPosition="0">
        <references count="2">
          <reference field="4294967294" count="1" selected="0">
            <x v="0"/>
          </reference>
          <reference field="11" count="1" selected="0">
            <x v="1"/>
          </reference>
        </references>
      </pivotArea>
    </chartFormat>
    <chartFormat chart="42" format="1" series="1">
      <pivotArea type="data" outline="0" fieldPosition="0">
        <references count="2">
          <reference field="4294967294" count="1" selected="0">
            <x v="0"/>
          </reference>
          <reference field="11" count="1" selected="0">
            <x v="2"/>
          </reference>
        </references>
      </pivotArea>
    </chartFormat>
    <chartFormat chart="42" format="2" series="1">
      <pivotArea type="data" outline="0" fieldPosition="0">
        <references count="2">
          <reference field="4294967294" count="1" selected="0">
            <x v="0"/>
          </reference>
          <reference field="11" count="1" selected="0">
            <x v="3"/>
          </reference>
        </references>
      </pivotArea>
    </chartFormat>
    <chartFormat chart="47" format="6" series="1">
      <pivotArea type="data" outline="0" fieldPosition="0">
        <references count="2">
          <reference field="4294967294" count="1" selected="0">
            <x v="0"/>
          </reference>
          <reference field="11" count="1" selected="0">
            <x v="1"/>
          </reference>
        </references>
      </pivotArea>
    </chartFormat>
    <chartFormat chart="47" format="7" series="1">
      <pivotArea type="data" outline="0" fieldPosition="0">
        <references count="2">
          <reference field="4294967294" count="1" selected="0">
            <x v="0"/>
          </reference>
          <reference field="11" count="1" selected="0">
            <x v="2"/>
          </reference>
        </references>
      </pivotArea>
    </chartFormat>
    <chartFormat chart="47" format="8"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706617AA-B0B2-4036-9027-511D38D5A35C}" sourceName="Department">
  <pivotTables>
    <pivotTable tabId="39" name="PivotTable24"/>
    <pivotTable tabId="39" name="PivotTable5"/>
    <pivotTable tabId="39" name="PivotTable2"/>
    <pivotTable tabId="39" name="PivotTable4"/>
    <pivotTable tabId="39" name="PivotTable1"/>
  </pivotTables>
  <data>
    <tabular pivotCacheId="767204855">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179C94B9-5D85-4E7C-A595-147D28FE0898}" sourceName="Country">
  <pivotTables>
    <pivotTable tabId="39" name="PivotTable24"/>
    <pivotTable tabId="39" name="PivotTable5"/>
    <pivotTable tabId="39" name="PivotTable2"/>
    <pivotTable tabId="39" name="PivotTable4"/>
  </pivotTables>
  <data>
    <tabular pivotCacheId="767204855">
      <items count="5">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BA6E4DD7-9378-459F-8CC6-F720ECFD04BE}" cache="Slicer_Department3" caption="Department" columnCount="3" style="SlicerStyleDark3" rowHeight="241300"/>
  <slicer name="Country 3" xr10:uid="{C383AF49-43A2-42BA-A6BC-3D0F5050CEFA}" cache="Slicer_Country3" caption="Country" columnCount="3"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47C6-3BD0-4F77-A565-5B527BAA4388}" name="Table1" displayName="Table1" ref="A1:I150" totalsRowShown="0" headerRowDxfId="39" dataDxfId="37" headerRowBorderDxfId="38" tableBorderDxfId="36">
  <autoFilter ref="A1:I150" xr:uid="{469E47C6-3BD0-4F77-A565-5B527BAA4388}"/>
  <tableColumns count="9">
    <tableColumn id="1" xr3:uid="{C00B7A04-1E3F-4004-B99A-E46DABA53F66}" name="Employee ID" dataDxfId="35"/>
    <tableColumn id="2" xr3:uid="{8CF44824-C4D6-457E-AAE3-B61979907142}" name="Name" dataDxfId="34"/>
    <tableColumn id="3" xr3:uid="{36015529-6436-4E27-8E0E-0A096414E815}" name="Department" dataDxfId="33"/>
    <tableColumn id="4" xr3:uid="{36C7C7F5-FC17-43E9-A6E5-C4DA9054755B}" name="Country" dataDxfId="32"/>
    <tableColumn id="5" xr3:uid="{72E83E42-FB6C-4699-91CA-82008B0DA395}" name="Salary" dataDxfId="31"/>
    <tableColumn id="6" xr3:uid="{7BEF7633-6CCB-4667-9792-670858F15269}" name="Date of Joining" dataDxfId="30"/>
    <tableColumn id="7" xr3:uid="{89EF684A-3636-4F4A-A647-99B3F1FD359E}" name="Performance Rating" dataDxfId="29"/>
    <tableColumn id="8" xr3:uid="{1D0ED7AB-4769-4CEF-A839-A5AA8B927A8A}" name="Gender" dataDxfId="28"/>
    <tableColumn id="9" xr3:uid="{3E3373FB-FE6D-445A-8C08-ECE8AFE1196F}" name="Email" dataDxf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B21A0-119A-49C7-A1EA-C79221804DB6}" name="Table3" displayName="Table3" ref="A1:I150" totalsRowShown="0" headerRowDxfId="26" dataDxfId="24" headerRowBorderDxfId="25" tableBorderDxfId="23">
  <autoFilter ref="A1:I150" xr:uid="{50DB21A0-119A-49C7-A1EA-C79221804DB6}"/>
  <tableColumns count="9">
    <tableColumn id="9" xr3:uid="{DFD57F12-F506-4FBA-860E-13FF386B1759}" name="Employee ID" dataDxfId="22"/>
    <tableColumn id="1" xr3:uid="{1FB23150-389D-4857-9344-16EE241698AA}" name="Name" dataDxfId="21"/>
    <tableColumn id="2" xr3:uid="{4F7579DD-ECDC-4F03-B941-800E86684896}" name="Department" dataDxfId="20"/>
    <tableColumn id="3" xr3:uid="{0F1BE078-0D57-4F6F-8023-F425776D1881}" name="Country" dataDxfId="19"/>
    <tableColumn id="4" xr3:uid="{3A104662-83D3-41B4-9759-1FA272EF16DA}" name="Salary" dataDxfId="18"/>
    <tableColumn id="5" xr3:uid="{1C7C944A-08EA-4B19-902E-5109BD709E1A}" name="Date of Joining" dataDxfId="17"/>
    <tableColumn id="6" xr3:uid="{0E5A01A2-8A27-469B-A2E4-6E034C8D1ADB}" name="Performance Rating" dataDxfId="16"/>
    <tableColumn id="7" xr3:uid="{77A5EAD4-8924-4D78-BEB1-61C020758D10}" name="Gender" dataDxfId="15"/>
    <tableColumn id="8" xr3:uid="{983F1EE8-DB62-4A85-8AEB-6A28402B1BC4}" name="Email"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7E1A5E1-07C5-49E5-B8FC-9DAE3832E349}" name="Table35871011121415161718" displayName="Table35871011121415161718" ref="A1:I150" totalsRowShown="0" headerRowDxfId="13" dataDxfId="11" headerRowBorderDxfId="12" tableBorderDxfId="10">
  <autoFilter ref="A1:I150" xr:uid="{50DB21A0-119A-49C7-A1EA-C79221804DB6}"/>
  <sortState xmlns:xlrd2="http://schemas.microsoft.com/office/spreadsheetml/2017/richdata2" ref="A2:I148">
    <sortCondition ref="E1:E150"/>
  </sortState>
  <tableColumns count="9">
    <tableColumn id="9" xr3:uid="{E5B8A7DD-AA2F-4EB5-8F84-5B0BC0BDC66D}" name="Employee ID" dataDxfId="9"/>
    <tableColumn id="1" xr3:uid="{0C0CD61D-7677-4275-A73B-A6E568840B95}" name="Name" dataDxfId="8"/>
    <tableColumn id="2" xr3:uid="{5156D4F5-588A-4DE6-8E86-DF97D166B4B5}" name="Department" dataDxfId="7"/>
    <tableColumn id="3" xr3:uid="{71B2FC45-68DB-4FB1-B61F-BC0EC2536500}" name="Country" dataDxfId="6"/>
    <tableColumn id="4" xr3:uid="{44734E09-77CE-488B-BA62-00EE908F48C0}" name="Salary" dataDxfId="5"/>
    <tableColumn id="6" xr3:uid="{4D4D222E-B369-4EF2-A7F4-3820F2FDCFD3}" name="Performance Rating" dataDxfId="4"/>
    <tableColumn id="5" xr3:uid="{D1951935-EDB5-4B44-872E-2699927C3C66}" name="Date of Joining" dataDxfId="3"/>
    <tableColumn id="7" xr3:uid="{AE43DDD7-E24B-45F9-9708-79F1F92B9E93}" name="Gender" dataDxfId="2"/>
    <tableColumn id="8" xr3:uid="{0772AFC2-98DA-486E-AB31-38D752B897D8}" name="Email" dataDxfId="1"/>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C8C0-0DDD-4CCB-8A73-FB8AEE9A965B}">
  <dimension ref="A1:I151"/>
  <sheetViews>
    <sheetView workbookViewId="0">
      <selection activeCell="L3" sqref="L3"/>
    </sheetView>
  </sheetViews>
  <sheetFormatPr defaultRowHeight="14.5" x14ac:dyDescent="0.35"/>
  <cols>
    <col min="1" max="1" width="15.54296875" style="2" customWidth="1"/>
    <col min="2" max="2" width="14.54296875" style="2" customWidth="1"/>
    <col min="3" max="3" width="12.90625" style="2" customWidth="1"/>
    <col min="4" max="4" width="13.453125" style="2" customWidth="1"/>
    <col min="5" max="5" width="14.1796875" style="2" customWidth="1"/>
    <col min="6" max="6" width="18.08984375" style="2" customWidth="1"/>
    <col min="7" max="7" width="21.08984375" style="2" customWidth="1"/>
    <col min="8" max="8" width="16.08984375" style="2" customWidth="1"/>
    <col min="9" max="9" width="26.6328125" style="2"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C2" s="2" t="s">
        <v>166</v>
      </c>
      <c r="D2" s="2" t="s">
        <v>171</v>
      </c>
      <c r="E2" s="2" t="s">
        <v>177</v>
      </c>
      <c r="G2" s="2">
        <v>2</v>
      </c>
      <c r="H2" s="2" t="s">
        <v>178</v>
      </c>
      <c r="I2" s="2" t="s">
        <v>182</v>
      </c>
    </row>
    <row r="3" spans="1:9" x14ac:dyDescent="0.35">
      <c r="A3" s="2" t="s">
        <v>10</v>
      </c>
      <c r="B3" s="2" t="s">
        <v>159</v>
      </c>
      <c r="C3" s="2" t="s">
        <v>167</v>
      </c>
      <c r="D3" s="2" t="s">
        <v>172</v>
      </c>
      <c r="E3" s="2">
        <v>54255</v>
      </c>
      <c r="F3" s="3">
        <v>42015</v>
      </c>
      <c r="G3" s="2">
        <v>1</v>
      </c>
      <c r="H3" s="2" t="s">
        <v>179</v>
      </c>
      <c r="I3" s="2" t="s">
        <v>183</v>
      </c>
    </row>
    <row r="4" spans="1:9" x14ac:dyDescent="0.35">
      <c r="A4" s="2" t="s">
        <v>11</v>
      </c>
      <c r="B4" s="2" t="s">
        <v>160</v>
      </c>
      <c r="C4" s="2" t="s">
        <v>166</v>
      </c>
      <c r="D4" s="2" t="s">
        <v>172</v>
      </c>
      <c r="E4" s="2">
        <v>63184</v>
      </c>
      <c r="F4" s="3">
        <v>42022</v>
      </c>
      <c r="G4" s="2">
        <v>2</v>
      </c>
      <c r="I4" s="2" t="s">
        <v>184</v>
      </c>
    </row>
    <row r="5" spans="1:9" x14ac:dyDescent="0.35">
      <c r="A5" s="2" t="s">
        <v>12</v>
      </c>
      <c r="B5" s="2" t="s">
        <v>161</v>
      </c>
      <c r="C5" s="2" t="s">
        <v>168</v>
      </c>
      <c r="D5" s="2" t="s">
        <v>173</v>
      </c>
      <c r="E5" s="2">
        <v>94406</v>
      </c>
      <c r="F5" s="3">
        <v>42029</v>
      </c>
      <c r="G5" s="2">
        <v>1</v>
      </c>
      <c r="H5" s="2" t="s">
        <v>180</v>
      </c>
      <c r="I5" s="2" t="s">
        <v>185</v>
      </c>
    </row>
    <row r="6" spans="1:9" x14ac:dyDescent="0.35">
      <c r="A6" s="2" t="s">
        <v>13</v>
      </c>
      <c r="B6" s="2" t="s">
        <v>162</v>
      </c>
      <c r="C6" s="2" t="s">
        <v>168</v>
      </c>
      <c r="D6" s="2" t="s">
        <v>172</v>
      </c>
      <c r="E6" s="2">
        <v>64120</v>
      </c>
      <c r="F6" s="3">
        <v>42036</v>
      </c>
      <c r="G6" s="2">
        <v>1</v>
      </c>
      <c r="H6" s="2" t="s">
        <v>180</v>
      </c>
      <c r="I6" s="2" t="s">
        <v>186</v>
      </c>
    </row>
    <row r="7" spans="1:9" x14ac:dyDescent="0.35">
      <c r="A7" s="2" t="s">
        <v>14</v>
      </c>
      <c r="B7" s="2" t="s">
        <v>160</v>
      </c>
      <c r="C7" s="2" t="s">
        <v>169</v>
      </c>
      <c r="D7" s="2" t="s">
        <v>174</v>
      </c>
      <c r="E7" s="2">
        <v>78421</v>
      </c>
      <c r="F7" s="3">
        <v>42043</v>
      </c>
      <c r="G7" s="2">
        <v>2</v>
      </c>
      <c r="H7" s="2" t="s">
        <v>181</v>
      </c>
      <c r="I7" s="2" t="s">
        <v>187</v>
      </c>
    </row>
    <row r="8" spans="1:9" x14ac:dyDescent="0.35">
      <c r="A8" s="2" t="s">
        <v>15</v>
      </c>
      <c r="B8" s="2" t="s">
        <v>163</v>
      </c>
      <c r="C8" s="2" t="s">
        <v>168</v>
      </c>
      <c r="E8" s="2">
        <v>67721</v>
      </c>
      <c r="F8" s="3">
        <v>42050</v>
      </c>
      <c r="H8" s="2" t="s">
        <v>180</v>
      </c>
      <c r="I8" s="2" t="s">
        <v>185</v>
      </c>
    </row>
    <row r="9" spans="1:9" x14ac:dyDescent="0.35">
      <c r="A9" s="2" t="s">
        <v>16</v>
      </c>
      <c r="B9" s="2" t="s">
        <v>164</v>
      </c>
      <c r="C9" s="2" t="s">
        <v>170</v>
      </c>
      <c r="E9" s="2">
        <v>35364</v>
      </c>
      <c r="F9" s="3">
        <v>42057</v>
      </c>
      <c r="G9" s="2">
        <v>2</v>
      </c>
      <c r="H9" s="2" t="s">
        <v>179</v>
      </c>
      <c r="I9" s="2" t="s">
        <v>188</v>
      </c>
    </row>
    <row r="10" spans="1:9" x14ac:dyDescent="0.35">
      <c r="A10" s="2" t="s">
        <v>17</v>
      </c>
      <c r="B10" s="2" t="s">
        <v>160</v>
      </c>
      <c r="C10" s="2" t="s">
        <v>169</v>
      </c>
      <c r="D10" s="2" t="s">
        <v>172</v>
      </c>
      <c r="E10" s="2">
        <v>97881</v>
      </c>
      <c r="F10" s="3">
        <v>42064</v>
      </c>
      <c r="H10" s="2" t="s">
        <v>181</v>
      </c>
      <c r="I10" s="2" t="s">
        <v>189</v>
      </c>
    </row>
    <row r="11" spans="1:9" x14ac:dyDescent="0.35">
      <c r="A11" s="2" t="s">
        <v>18</v>
      </c>
      <c r="B11" s="2" t="s">
        <v>164</v>
      </c>
      <c r="C11" s="2" t="s">
        <v>167</v>
      </c>
      <c r="D11" s="2" t="s">
        <v>175</v>
      </c>
      <c r="E11" s="2">
        <v>91846</v>
      </c>
      <c r="F11" s="3">
        <v>42071</v>
      </c>
      <c r="H11" s="2" t="s">
        <v>180</v>
      </c>
      <c r="I11" s="2" t="s">
        <v>190</v>
      </c>
    </row>
    <row r="12" spans="1:9" x14ac:dyDescent="0.35">
      <c r="A12" s="2" t="s">
        <v>19</v>
      </c>
      <c r="B12" s="2" t="s">
        <v>163</v>
      </c>
      <c r="C12" s="2" t="s">
        <v>166</v>
      </c>
      <c r="D12" s="2" t="s">
        <v>175</v>
      </c>
      <c r="E12" s="2">
        <v>64247</v>
      </c>
      <c r="F12" s="3">
        <v>42078</v>
      </c>
      <c r="G12" s="2">
        <v>1</v>
      </c>
      <c r="H12" s="2" t="s">
        <v>181</v>
      </c>
      <c r="I12" s="2" t="s">
        <v>191</v>
      </c>
    </row>
    <row r="13" spans="1:9" x14ac:dyDescent="0.35">
      <c r="A13" s="2" t="s">
        <v>20</v>
      </c>
      <c r="B13" s="2" t="s">
        <v>163</v>
      </c>
      <c r="C13" s="2" t="s">
        <v>169</v>
      </c>
      <c r="D13" s="2" t="s">
        <v>173</v>
      </c>
      <c r="E13" s="2">
        <v>91180</v>
      </c>
      <c r="F13" s="3">
        <v>42085</v>
      </c>
      <c r="G13" s="2">
        <v>5</v>
      </c>
      <c r="H13" s="2" t="s">
        <v>180</v>
      </c>
      <c r="I13" s="2" t="s">
        <v>192</v>
      </c>
    </row>
    <row r="14" spans="1:9" x14ac:dyDescent="0.35">
      <c r="A14" s="2" t="s">
        <v>21</v>
      </c>
      <c r="B14" s="2" t="s">
        <v>165</v>
      </c>
      <c r="C14" s="2" t="s">
        <v>168</v>
      </c>
      <c r="E14" s="2">
        <v>96418</v>
      </c>
      <c r="F14" s="3">
        <v>42092</v>
      </c>
      <c r="G14" s="2">
        <v>5</v>
      </c>
      <c r="H14" s="2" t="s">
        <v>180</v>
      </c>
      <c r="I14" s="2" t="s">
        <v>183</v>
      </c>
    </row>
    <row r="15" spans="1:9" x14ac:dyDescent="0.35">
      <c r="A15" s="2" t="s">
        <v>22</v>
      </c>
      <c r="B15" s="2" t="s">
        <v>163</v>
      </c>
      <c r="D15" s="2" t="s">
        <v>174</v>
      </c>
      <c r="E15" s="2">
        <v>62158</v>
      </c>
      <c r="F15" s="3">
        <v>42099</v>
      </c>
      <c r="G15" s="2">
        <v>4</v>
      </c>
      <c r="I15" s="2" t="s">
        <v>193</v>
      </c>
    </row>
    <row r="16" spans="1:9" x14ac:dyDescent="0.35">
      <c r="A16" s="2" t="s">
        <v>23</v>
      </c>
      <c r="B16" s="2" t="s">
        <v>162</v>
      </c>
      <c r="C16" s="2" t="s">
        <v>167</v>
      </c>
      <c r="E16" s="2">
        <v>59894</v>
      </c>
      <c r="F16" s="3">
        <v>42106</v>
      </c>
      <c r="G16" s="2">
        <v>2</v>
      </c>
      <c r="H16" s="2" t="s">
        <v>180</v>
      </c>
      <c r="I16" s="2" t="s">
        <v>194</v>
      </c>
    </row>
    <row r="17" spans="1:9" x14ac:dyDescent="0.35">
      <c r="A17" s="2" t="s">
        <v>24</v>
      </c>
      <c r="C17" s="2" t="s">
        <v>169</v>
      </c>
      <c r="D17" s="2" t="s">
        <v>174</v>
      </c>
      <c r="E17" s="2">
        <v>92443</v>
      </c>
      <c r="F17" s="3">
        <v>42113</v>
      </c>
      <c r="G17" s="2">
        <v>3</v>
      </c>
      <c r="H17" s="2" t="s">
        <v>179</v>
      </c>
      <c r="I17" s="2" t="s">
        <v>195</v>
      </c>
    </row>
    <row r="18" spans="1:9" x14ac:dyDescent="0.35">
      <c r="A18" s="2" t="s">
        <v>25</v>
      </c>
      <c r="B18" s="2" t="s">
        <v>165</v>
      </c>
      <c r="D18" s="2" t="s">
        <v>172</v>
      </c>
      <c r="E18" s="2">
        <v>90271</v>
      </c>
      <c r="F18" s="3">
        <v>42120</v>
      </c>
      <c r="I18" s="2" t="s">
        <v>196</v>
      </c>
    </row>
    <row r="19" spans="1:9" x14ac:dyDescent="0.35">
      <c r="A19" s="2" t="s">
        <v>26</v>
      </c>
      <c r="B19" s="2" t="s">
        <v>162</v>
      </c>
      <c r="C19" s="2" t="s">
        <v>166</v>
      </c>
      <c r="D19" s="2" t="s">
        <v>176</v>
      </c>
      <c r="E19" s="2">
        <v>41341</v>
      </c>
      <c r="F19" s="3">
        <v>42127</v>
      </c>
      <c r="G19" s="2">
        <v>1</v>
      </c>
      <c r="H19" s="2" t="s">
        <v>179</v>
      </c>
      <c r="I19" s="2" t="s">
        <v>197</v>
      </c>
    </row>
    <row r="20" spans="1:9" x14ac:dyDescent="0.35">
      <c r="A20" s="2" t="s">
        <v>27</v>
      </c>
      <c r="B20" s="2" t="s">
        <v>160</v>
      </c>
      <c r="C20" s="2" t="s">
        <v>166</v>
      </c>
      <c r="D20" s="2" t="s">
        <v>175</v>
      </c>
      <c r="E20" s="2">
        <v>73602</v>
      </c>
      <c r="F20" s="3">
        <v>42134</v>
      </c>
      <c r="I20" s="2" t="s">
        <v>198</v>
      </c>
    </row>
    <row r="21" spans="1:9" x14ac:dyDescent="0.35">
      <c r="A21" s="2" t="s">
        <v>28</v>
      </c>
      <c r="B21" s="2" t="s">
        <v>159</v>
      </c>
      <c r="D21" s="2" t="s">
        <v>174</v>
      </c>
      <c r="E21" s="2">
        <v>67531</v>
      </c>
      <c r="F21" s="3">
        <v>42141</v>
      </c>
      <c r="G21" s="2">
        <v>5</v>
      </c>
      <c r="H21" s="2" t="s">
        <v>181</v>
      </c>
      <c r="I21" s="2" t="s">
        <v>199</v>
      </c>
    </row>
    <row r="22" spans="1:9" x14ac:dyDescent="0.35">
      <c r="A22" s="2" t="s">
        <v>29</v>
      </c>
      <c r="B22" s="2" t="s">
        <v>162</v>
      </c>
      <c r="C22" s="2" t="s">
        <v>167</v>
      </c>
      <c r="D22" s="2" t="s">
        <v>173</v>
      </c>
      <c r="E22" s="2" t="s">
        <v>177</v>
      </c>
      <c r="F22" s="3">
        <v>42148</v>
      </c>
      <c r="G22" s="2">
        <v>2</v>
      </c>
      <c r="H22" s="2" t="s">
        <v>179</v>
      </c>
      <c r="I22" s="2" t="s">
        <v>200</v>
      </c>
    </row>
    <row r="23" spans="1:9" x14ac:dyDescent="0.35">
      <c r="A23" s="2" t="s">
        <v>30</v>
      </c>
      <c r="B23" s="2" t="s">
        <v>162</v>
      </c>
      <c r="C23" s="2" t="s">
        <v>167</v>
      </c>
      <c r="E23" s="2">
        <v>98922</v>
      </c>
      <c r="F23" s="3">
        <v>42155</v>
      </c>
      <c r="G23" s="2">
        <v>4</v>
      </c>
      <c r="I23" s="2" t="s">
        <v>201</v>
      </c>
    </row>
    <row r="24" spans="1:9" x14ac:dyDescent="0.35">
      <c r="A24" s="2" t="s">
        <v>31</v>
      </c>
      <c r="B24" s="2" t="s">
        <v>159</v>
      </c>
      <c r="C24" s="2" t="s">
        <v>166</v>
      </c>
      <c r="D24" s="2" t="s">
        <v>174</v>
      </c>
      <c r="E24" s="2">
        <v>38333</v>
      </c>
      <c r="F24" s="3">
        <v>42162</v>
      </c>
      <c r="G24" s="2">
        <v>5</v>
      </c>
      <c r="I24" s="2" t="s">
        <v>202</v>
      </c>
    </row>
    <row r="25" spans="1:9" x14ac:dyDescent="0.35">
      <c r="A25" s="2" t="s">
        <v>32</v>
      </c>
      <c r="B25" s="2" t="s">
        <v>160</v>
      </c>
      <c r="C25" s="2" t="s">
        <v>170</v>
      </c>
      <c r="D25" s="2" t="s">
        <v>175</v>
      </c>
      <c r="E25" s="2">
        <v>36515</v>
      </c>
      <c r="F25" s="3">
        <v>42169</v>
      </c>
      <c r="G25" s="2">
        <v>3</v>
      </c>
      <c r="H25" s="2" t="s">
        <v>180</v>
      </c>
      <c r="I25" s="2" t="s">
        <v>203</v>
      </c>
    </row>
    <row r="26" spans="1:9" x14ac:dyDescent="0.35">
      <c r="A26" s="2" t="s">
        <v>33</v>
      </c>
      <c r="B26" s="2" t="s">
        <v>163</v>
      </c>
      <c r="C26" s="2" t="s">
        <v>166</v>
      </c>
      <c r="E26" s="2">
        <v>91005</v>
      </c>
      <c r="F26" s="3">
        <v>42176</v>
      </c>
      <c r="G26" s="2">
        <v>1</v>
      </c>
      <c r="H26" s="2" t="s">
        <v>179</v>
      </c>
      <c r="I26" s="2" t="s">
        <v>204</v>
      </c>
    </row>
    <row r="27" spans="1:9" x14ac:dyDescent="0.35">
      <c r="A27" s="2" t="s">
        <v>34</v>
      </c>
      <c r="B27" s="2" t="s">
        <v>164</v>
      </c>
      <c r="D27" s="2" t="s">
        <v>171</v>
      </c>
      <c r="E27" s="2">
        <v>52272</v>
      </c>
      <c r="F27" s="3">
        <v>42183</v>
      </c>
      <c r="G27" s="2">
        <v>3</v>
      </c>
      <c r="I27" s="2" t="s">
        <v>205</v>
      </c>
    </row>
    <row r="28" spans="1:9" x14ac:dyDescent="0.35">
      <c r="A28" s="2" t="s">
        <v>35</v>
      </c>
      <c r="B28" s="2" t="s">
        <v>159</v>
      </c>
      <c r="C28" s="2" t="s">
        <v>168</v>
      </c>
      <c r="D28" s="2" t="s">
        <v>172</v>
      </c>
      <c r="E28" s="2">
        <v>76518</v>
      </c>
      <c r="F28" s="3">
        <v>42190</v>
      </c>
      <c r="G28" s="2">
        <v>2</v>
      </c>
      <c r="H28" s="2" t="s">
        <v>181</v>
      </c>
      <c r="I28" s="2" t="s">
        <v>206</v>
      </c>
    </row>
    <row r="29" spans="1:9" x14ac:dyDescent="0.35">
      <c r="A29" s="2" t="s">
        <v>36</v>
      </c>
      <c r="B29" s="2" t="s">
        <v>160</v>
      </c>
      <c r="C29" s="2" t="s">
        <v>169</v>
      </c>
      <c r="D29" s="2" t="s">
        <v>175</v>
      </c>
      <c r="E29" s="2">
        <v>41448</v>
      </c>
      <c r="F29" s="3">
        <v>42197</v>
      </c>
      <c r="G29" s="2">
        <v>3</v>
      </c>
      <c r="H29" s="2" t="s">
        <v>179</v>
      </c>
      <c r="I29" s="2" t="s">
        <v>207</v>
      </c>
    </row>
    <row r="30" spans="1:9" x14ac:dyDescent="0.35">
      <c r="A30" s="2" t="s">
        <v>37</v>
      </c>
      <c r="B30" s="2" t="s">
        <v>161</v>
      </c>
      <c r="C30" s="2" t="s">
        <v>167</v>
      </c>
      <c r="D30" s="2" t="s">
        <v>175</v>
      </c>
      <c r="E30" s="2">
        <v>49282</v>
      </c>
      <c r="F30" s="3">
        <v>42204</v>
      </c>
      <c r="G30" s="2">
        <v>2</v>
      </c>
      <c r="H30" s="2" t="s">
        <v>181</v>
      </c>
      <c r="I30" s="2" t="s">
        <v>208</v>
      </c>
    </row>
    <row r="31" spans="1:9" x14ac:dyDescent="0.35">
      <c r="A31" s="2" t="s">
        <v>38</v>
      </c>
      <c r="B31" s="2" t="s">
        <v>165</v>
      </c>
      <c r="C31" s="2" t="s">
        <v>170</v>
      </c>
      <c r="D31" s="2" t="s">
        <v>175</v>
      </c>
      <c r="E31" s="2">
        <v>92959</v>
      </c>
      <c r="F31" s="3">
        <v>42211</v>
      </c>
      <c r="G31" s="2">
        <v>5</v>
      </c>
      <c r="I31" s="2" t="s">
        <v>209</v>
      </c>
    </row>
    <row r="32" spans="1:9" x14ac:dyDescent="0.35">
      <c r="A32" s="2" t="s">
        <v>39</v>
      </c>
      <c r="C32" s="2" t="s">
        <v>170</v>
      </c>
      <c r="E32" s="2">
        <v>92259</v>
      </c>
      <c r="G32" s="2">
        <v>1</v>
      </c>
      <c r="H32" s="2" t="s">
        <v>178</v>
      </c>
      <c r="I32" s="2" t="s">
        <v>210</v>
      </c>
    </row>
    <row r="33" spans="1:9" x14ac:dyDescent="0.35">
      <c r="A33" s="2" t="s">
        <v>40</v>
      </c>
      <c r="B33" s="2" t="s">
        <v>159</v>
      </c>
      <c r="C33" s="2" t="s">
        <v>167</v>
      </c>
      <c r="D33" s="2" t="s">
        <v>172</v>
      </c>
      <c r="E33" s="2">
        <v>92299</v>
      </c>
      <c r="F33" s="3">
        <v>42225</v>
      </c>
      <c r="G33" s="2">
        <v>3</v>
      </c>
      <c r="H33" s="2" t="s">
        <v>180</v>
      </c>
      <c r="I33" s="2" t="s">
        <v>211</v>
      </c>
    </row>
    <row r="34" spans="1:9" x14ac:dyDescent="0.35">
      <c r="A34" s="2" t="s">
        <v>41</v>
      </c>
      <c r="B34" s="2" t="s">
        <v>163</v>
      </c>
      <c r="C34" s="2" t="s">
        <v>167</v>
      </c>
      <c r="E34" s="2">
        <v>95586</v>
      </c>
      <c r="F34" s="3">
        <v>42232</v>
      </c>
      <c r="G34" s="2">
        <v>3</v>
      </c>
      <c r="H34" s="2" t="s">
        <v>179</v>
      </c>
      <c r="I34" s="2" t="s">
        <v>212</v>
      </c>
    </row>
    <row r="35" spans="1:9" x14ac:dyDescent="0.35">
      <c r="A35" s="2" t="s">
        <v>42</v>
      </c>
      <c r="B35" s="2" t="s">
        <v>164</v>
      </c>
      <c r="D35" s="2" t="s">
        <v>173</v>
      </c>
      <c r="E35" s="2">
        <v>95367</v>
      </c>
      <c r="F35" s="3">
        <v>42239</v>
      </c>
      <c r="H35" s="2" t="s">
        <v>180</v>
      </c>
      <c r="I35" s="2" t="s">
        <v>213</v>
      </c>
    </row>
    <row r="36" spans="1:9" x14ac:dyDescent="0.35">
      <c r="A36" s="2" t="s">
        <v>43</v>
      </c>
      <c r="B36" s="2" t="s">
        <v>161</v>
      </c>
      <c r="C36" s="2" t="s">
        <v>168</v>
      </c>
      <c r="D36" s="2" t="s">
        <v>176</v>
      </c>
      <c r="E36" s="2">
        <v>79549</v>
      </c>
      <c r="F36" s="3">
        <v>42246</v>
      </c>
      <c r="G36" s="2">
        <v>3</v>
      </c>
      <c r="I36" s="2" t="s">
        <v>214</v>
      </c>
    </row>
    <row r="37" spans="1:9" x14ac:dyDescent="0.35">
      <c r="A37" s="2" t="s">
        <v>44</v>
      </c>
      <c r="B37" s="2" t="s">
        <v>160</v>
      </c>
      <c r="D37" s="2" t="s">
        <v>175</v>
      </c>
      <c r="E37" s="2">
        <v>54463</v>
      </c>
      <c r="F37" s="3">
        <v>42253</v>
      </c>
      <c r="G37" s="2">
        <v>4</v>
      </c>
      <c r="H37" s="2" t="s">
        <v>180</v>
      </c>
      <c r="I37" s="2" t="s">
        <v>182</v>
      </c>
    </row>
    <row r="38" spans="1:9" x14ac:dyDescent="0.35">
      <c r="A38" s="2" t="s">
        <v>45</v>
      </c>
      <c r="B38" s="2" t="s">
        <v>160</v>
      </c>
      <c r="C38" s="2" t="s">
        <v>169</v>
      </c>
      <c r="D38" s="2" t="s">
        <v>173</v>
      </c>
      <c r="E38" s="2">
        <v>89781</v>
      </c>
      <c r="F38" s="3">
        <v>42260</v>
      </c>
      <c r="H38" s="2" t="s">
        <v>181</v>
      </c>
      <c r="I38" s="2" t="s">
        <v>215</v>
      </c>
    </row>
    <row r="39" spans="1:9" x14ac:dyDescent="0.35">
      <c r="A39" s="2" t="s">
        <v>46</v>
      </c>
      <c r="B39" s="2" t="s">
        <v>160</v>
      </c>
      <c r="C39" s="2" t="s">
        <v>167</v>
      </c>
      <c r="E39" s="2">
        <v>64796</v>
      </c>
      <c r="F39" s="3">
        <v>42267</v>
      </c>
      <c r="H39" s="2" t="s">
        <v>179</v>
      </c>
      <c r="I39" s="2" t="s">
        <v>216</v>
      </c>
    </row>
    <row r="40" spans="1:9" x14ac:dyDescent="0.35">
      <c r="A40" s="2" t="s">
        <v>47</v>
      </c>
      <c r="B40" s="2" t="s">
        <v>161</v>
      </c>
      <c r="C40" s="2" t="s">
        <v>170</v>
      </c>
      <c r="D40" s="2" t="s">
        <v>175</v>
      </c>
      <c r="E40" s="2">
        <v>52093</v>
      </c>
      <c r="F40" s="3">
        <v>42274</v>
      </c>
      <c r="G40" s="2">
        <v>5</v>
      </c>
      <c r="I40" s="2" t="s">
        <v>217</v>
      </c>
    </row>
    <row r="41" spans="1:9" x14ac:dyDescent="0.35">
      <c r="A41" s="2" t="s">
        <v>48</v>
      </c>
      <c r="B41" s="2" t="s">
        <v>164</v>
      </c>
      <c r="C41" s="2" t="s">
        <v>167</v>
      </c>
      <c r="D41" s="2" t="s">
        <v>175</v>
      </c>
      <c r="E41" s="2">
        <v>48224</v>
      </c>
      <c r="F41" s="3">
        <v>42281</v>
      </c>
      <c r="G41" s="2">
        <v>3</v>
      </c>
      <c r="I41" s="2" t="s">
        <v>218</v>
      </c>
    </row>
    <row r="42" spans="1:9" x14ac:dyDescent="0.35">
      <c r="A42" s="2" t="s">
        <v>49</v>
      </c>
      <c r="B42" s="2" t="s">
        <v>165</v>
      </c>
      <c r="C42" s="2" t="s">
        <v>166</v>
      </c>
      <c r="D42" s="2" t="s">
        <v>175</v>
      </c>
      <c r="E42" s="2" t="s">
        <v>177</v>
      </c>
      <c r="G42" s="2">
        <v>4</v>
      </c>
      <c r="H42" s="2" t="s">
        <v>181</v>
      </c>
      <c r="I42" s="2" t="s">
        <v>219</v>
      </c>
    </row>
    <row r="43" spans="1:9" x14ac:dyDescent="0.35">
      <c r="A43" s="2" t="s">
        <v>50</v>
      </c>
      <c r="B43" s="2" t="s">
        <v>160</v>
      </c>
      <c r="C43" s="2" t="s">
        <v>169</v>
      </c>
      <c r="D43" s="2" t="s">
        <v>172</v>
      </c>
      <c r="E43" s="2">
        <v>33956</v>
      </c>
      <c r="F43" s="3">
        <v>42295</v>
      </c>
      <c r="I43" s="2" t="s">
        <v>220</v>
      </c>
    </row>
    <row r="44" spans="1:9" x14ac:dyDescent="0.35">
      <c r="A44" s="2" t="s">
        <v>51</v>
      </c>
      <c r="B44" s="2" t="s">
        <v>165</v>
      </c>
      <c r="D44" s="2" t="s">
        <v>176</v>
      </c>
      <c r="E44" s="2">
        <v>64913</v>
      </c>
      <c r="F44" s="3">
        <v>42302</v>
      </c>
      <c r="G44" s="2">
        <v>1</v>
      </c>
      <c r="H44" s="2" t="s">
        <v>181</v>
      </c>
      <c r="I44" s="2" t="s">
        <v>221</v>
      </c>
    </row>
    <row r="45" spans="1:9" x14ac:dyDescent="0.35">
      <c r="A45" s="2" t="s">
        <v>52</v>
      </c>
      <c r="B45" s="2" t="s">
        <v>160</v>
      </c>
      <c r="C45" s="2" t="s">
        <v>170</v>
      </c>
      <c r="D45" s="2" t="s">
        <v>176</v>
      </c>
      <c r="E45" s="2">
        <v>35326</v>
      </c>
      <c r="F45" s="3">
        <v>42309</v>
      </c>
      <c r="H45" s="2" t="s">
        <v>181</v>
      </c>
      <c r="I45" s="2" t="s">
        <v>222</v>
      </c>
    </row>
    <row r="46" spans="1:9" x14ac:dyDescent="0.35">
      <c r="A46" s="2" t="s">
        <v>53</v>
      </c>
      <c r="B46" s="2" t="s">
        <v>164</v>
      </c>
      <c r="C46" s="2" t="s">
        <v>166</v>
      </c>
      <c r="E46" s="2">
        <v>81610</v>
      </c>
      <c r="F46" s="3">
        <v>42316</v>
      </c>
      <c r="G46" s="2">
        <v>1</v>
      </c>
      <c r="I46" s="2" t="s">
        <v>223</v>
      </c>
    </row>
    <row r="47" spans="1:9" x14ac:dyDescent="0.35">
      <c r="A47" s="2" t="s">
        <v>54</v>
      </c>
      <c r="C47" s="2" t="s">
        <v>167</v>
      </c>
      <c r="E47" s="2">
        <v>58962</v>
      </c>
      <c r="F47" s="3">
        <v>42323</v>
      </c>
      <c r="G47" s="2">
        <v>3</v>
      </c>
      <c r="H47" s="2" t="s">
        <v>179</v>
      </c>
      <c r="I47" s="2" t="s">
        <v>183</v>
      </c>
    </row>
    <row r="48" spans="1:9" x14ac:dyDescent="0.35">
      <c r="A48" s="2" t="s">
        <v>55</v>
      </c>
      <c r="B48" s="2" t="s">
        <v>164</v>
      </c>
      <c r="C48" s="2" t="s">
        <v>169</v>
      </c>
      <c r="D48" s="2" t="s">
        <v>172</v>
      </c>
      <c r="E48" s="2">
        <v>92701</v>
      </c>
      <c r="F48" s="3">
        <v>42330</v>
      </c>
      <c r="G48" s="2">
        <v>3</v>
      </c>
      <c r="H48" s="2" t="s">
        <v>179</v>
      </c>
      <c r="I48" s="2" t="s">
        <v>224</v>
      </c>
    </row>
    <row r="49" spans="1:9" x14ac:dyDescent="0.35">
      <c r="A49" s="2" t="s">
        <v>56</v>
      </c>
      <c r="B49" s="2" t="s">
        <v>164</v>
      </c>
      <c r="C49" s="2" t="s">
        <v>167</v>
      </c>
      <c r="D49" s="2" t="s">
        <v>174</v>
      </c>
      <c r="E49" s="2">
        <v>58245</v>
      </c>
      <c r="F49" s="3">
        <v>42337</v>
      </c>
      <c r="G49" s="2">
        <v>4</v>
      </c>
      <c r="I49" s="2" t="s">
        <v>225</v>
      </c>
    </row>
    <row r="50" spans="1:9" x14ac:dyDescent="0.35">
      <c r="A50" s="2" t="s">
        <v>57</v>
      </c>
      <c r="B50" s="2" t="s">
        <v>161</v>
      </c>
      <c r="C50" s="2" t="s">
        <v>166</v>
      </c>
      <c r="E50" s="2">
        <v>66513</v>
      </c>
      <c r="F50" s="3">
        <v>42344</v>
      </c>
      <c r="G50" s="2">
        <v>2</v>
      </c>
      <c r="H50" s="2" t="s">
        <v>179</v>
      </c>
      <c r="I50" s="2" t="s">
        <v>187</v>
      </c>
    </row>
    <row r="51" spans="1:9" x14ac:dyDescent="0.35">
      <c r="A51" s="2" t="s">
        <v>58</v>
      </c>
      <c r="B51" s="2" t="s">
        <v>159</v>
      </c>
      <c r="C51" s="2" t="s">
        <v>167</v>
      </c>
      <c r="D51" s="2" t="s">
        <v>172</v>
      </c>
      <c r="E51" s="2">
        <v>78720</v>
      </c>
      <c r="F51" s="3">
        <v>42351</v>
      </c>
      <c r="G51" s="2">
        <v>5</v>
      </c>
      <c r="H51" s="2" t="s">
        <v>181</v>
      </c>
      <c r="I51" s="2" t="s">
        <v>219</v>
      </c>
    </row>
    <row r="52" spans="1:9" x14ac:dyDescent="0.35">
      <c r="A52" s="2" t="s">
        <v>59</v>
      </c>
      <c r="B52" s="2" t="s">
        <v>164</v>
      </c>
      <c r="D52" s="2" t="s">
        <v>171</v>
      </c>
      <c r="E52" s="2">
        <v>30686</v>
      </c>
      <c r="G52" s="2">
        <v>2</v>
      </c>
      <c r="H52" s="2" t="s">
        <v>181</v>
      </c>
      <c r="I52" s="2" t="s">
        <v>226</v>
      </c>
    </row>
    <row r="53" spans="1:9" x14ac:dyDescent="0.35">
      <c r="A53" s="2" t="s">
        <v>60</v>
      </c>
      <c r="B53" s="2" t="s">
        <v>163</v>
      </c>
      <c r="C53" s="2" t="s">
        <v>168</v>
      </c>
      <c r="D53" s="2" t="s">
        <v>174</v>
      </c>
      <c r="E53" s="2">
        <v>39423</v>
      </c>
      <c r="F53" s="3">
        <v>42365</v>
      </c>
      <c r="G53" s="2">
        <v>5</v>
      </c>
      <c r="I53" s="2" t="s">
        <v>227</v>
      </c>
    </row>
    <row r="54" spans="1:9" x14ac:dyDescent="0.35">
      <c r="A54" s="2" t="s">
        <v>61</v>
      </c>
      <c r="B54" s="2" t="s">
        <v>159</v>
      </c>
      <c r="C54" s="2" t="s">
        <v>170</v>
      </c>
      <c r="E54" s="2">
        <v>30280</v>
      </c>
      <c r="F54" s="3">
        <v>42372</v>
      </c>
      <c r="G54" s="2">
        <v>1</v>
      </c>
      <c r="I54" s="2" t="s">
        <v>228</v>
      </c>
    </row>
    <row r="55" spans="1:9" x14ac:dyDescent="0.35">
      <c r="A55" s="2" t="s">
        <v>62</v>
      </c>
      <c r="B55" s="2" t="s">
        <v>159</v>
      </c>
      <c r="C55" s="2" t="s">
        <v>166</v>
      </c>
      <c r="D55" s="2" t="s">
        <v>175</v>
      </c>
      <c r="E55" s="2">
        <v>33352</v>
      </c>
      <c r="F55" s="3">
        <v>42379</v>
      </c>
      <c r="G55" s="2">
        <v>3</v>
      </c>
      <c r="H55" s="2" t="s">
        <v>181</v>
      </c>
      <c r="I55" s="2" t="s">
        <v>200</v>
      </c>
    </row>
    <row r="56" spans="1:9" x14ac:dyDescent="0.35">
      <c r="A56" s="2" t="s">
        <v>63</v>
      </c>
      <c r="B56" s="2" t="s">
        <v>165</v>
      </c>
      <c r="C56" s="2" t="s">
        <v>170</v>
      </c>
      <c r="D56" s="2" t="s">
        <v>175</v>
      </c>
      <c r="E56" s="2">
        <v>75633</v>
      </c>
      <c r="F56" s="3">
        <v>42386</v>
      </c>
      <c r="G56" s="2">
        <v>5</v>
      </c>
      <c r="H56" s="2" t="s">
        <v>179</v>
      </c>
      <c r="I56" s="2" t="s">
        <v>229</v>
      </c>
    </row>
    <row r="57" spans="1:9" x14ac:dyDescent="0.35">
      <c r="A57" s="2" t="s">
        <v>64</v>
      </c>
      <c r="B57" s="2" t="s">
        <v>164</v>
      </c>
      <c r="D57" s="2" t="s">
        <v>173</v>
      </c>
      <c r="E57" s="2">
        <v>74815</v>
      </c>
      <c r="F57" s="3">
        <v>42393</v>
      </c>
      <c r="G57" s="2">
        <v>5</v>
      </c>
      <c r="H57" s="2" t="s">
        <v>181</v>
      </c>
      <c r="I57" s="2" t="s">
        <v>230</v>
      </c>
    </row>
    <row r="58" spans="1:9" x14ac:dyDescent="0.35">
      <c r="A58" s="2" t="s">
        <v>65</v>
      </c>
      <c r="B58" s="2" t="s">
        <v>161</v>
      </c>
      <c r="C58" s="2" t="s">
        <v>168</v>
      </c>
      <c r="D58" s="2" t="s">
        <v>176</v>
      </c>
      <c r="E58" s="2">
        <v>60011</v>
      </c>
      <c r="F58" s="3">
        <v>42400</v>
      </c>
      <c r="G58" s="2">
        <v>1</v>
      </c>
      <c r="H58" s="2" t="s">
        <v>180</v>
      </c>
      <c r="I58" s="2" t="s">
        <v>231</v>
      </c>
    </row>
    <row r="59" spans="1:9" x14ac:dyDescent="0.35">
      <c r="A59" s="2" t="s">
        <v>66</v>
      </c>
      <c r="B59" s="2" t="s">
        <v>159</v>
      </c>
      <c r="D59" s="2" t="s">
        <v>174</v>
      </c>
      <c r="E59" s="2">
        <v>96949</v>
      </c>
      <c r="F59" s="3">
        <v>42407</v>
      </c>
      <c r="G59" s="2">
        <v>3</v>
      </c>
      <c r="I59" s="2" t="s">
        <v>207</v>
      </c>
    </row>
    <row r="60" spans="1:9" x14ac:dyDescent="0.35">
      <c r="A60" s="2" t="s">
        <v>67</v>
      </c>
      <c r="B60" s="2" t="s">
        <v>163</v>
      </c>
      <c r="C60" s="2" t="s">
        <v>170</v>
      </c>
      <c r="E60" s="2">
        <v>84924</v>
      </c>
      <c r="F60" s="3">
        <v>42414</v>
      </c>
      <c r="G60" s="2">
        <v>5</v>
      </c>
      <c r="H60" s="2" t="s">
        <v>180</v>
      </c>
      <c r="I60" s="2" t="s">
        <v>232</v>
      </c>
    </row>
    <row r="61" spans="1:9" x14ac:dyDescent="0.35">
      <c r="A61" s="2" t="s">
        <v>68</v>
      </c>
      <c r="B61" s="2" t="s">
        <v>163</v>
      </c>
      <c r="C61" s="2" t="s">
        <v>166</v>
      </c>
      <c r="D61" s="2" t="s">
        <v>173</v>
      </c>
      <c r="E61" s="2">
        <v>82033</v>
      </c>
      <c r="F61" s="3">
        <v>42421</v>
      </c>
      <c r="G61" s="2">
        <v>1</v>
      </c>
      <c r="I61" s="2" t="s">
        <v>223</v>
      </c>
    </row>
    <row r="62" spans="1:9" x14ac:dyDescent="0.35">
      <c r="A62" s="2" t="s">
        <v>69</v>
      </c>
      <c r="C62" s="2" t="s">
        <v>170</v>
      </c>
      <c r="D62" s="2" t="s">
        <v>172</v>
      </c>
      <c r="E62" s="2" t="s">
        <v>177</v>
      </c>
      <c r="G62" s="2">
        <v>5</v>
      </c>
      <c r="H62" s="2" t="s">
        <v>178</v>
      </c>
      <c r="I62" s="2" t="s">
        <v>233</v>
      </c>
    </row>
    <row r="63" spans="1:9" x14ac:dyDescent="0.35">
      <c r="A63" s="2" t="s">
        <v>70</v>
      </c>
      <c r="B63" s="2" t="s">
        <v>159</v>
      </c>
      <c r="D63" s="2" t="s">
        <v>176</v>
      </c>
      <c r="E63" s="2">
        <v>31499</v>
      </c>
      <c r="F63" s="3">
        <v>42435</v>
      </c>
      <c r="G63" s="2">
        <v>2</v>
      </c>
      <c r="I63" s="2" t="s">
        <v>215</v>
      </c>
    </row>
    <row r="64" spans="1:9" x14ac:dyDescent="0.35">
      <c r="A64" s="2" t="s">
        <v>71</v>
      </c>
      <c r="B64" s="2" t="s">
        <v>164</v>
      </c>
      <c r="C64" s="2" t="s">
        <v>169</v>
      </c>
      <c r="D64" s="2" t="s">
        <v>175</v>
      </c>
      <c r="E64" s="2">
        <v>97981</v>
      </c>
      <c r="F64" s="3">
        <v>42442</v>
      </c>
      <c r="G64" s="2">
        <v>5</v>
      </c>
      <c r="H64" s="2" t="s">
        <v>181</v>
      </c>
      <c r="I64" s="2" t="s">
        <v>234</v>
      </c>
    </row>
    <row r="65" spans="1:9" x14ac:dyDescent="0.35">
      <c r="A65" s="2" t="s">
        <v>72</v>
      </c>
      <c r="B65" s="2" t="s">
        <v>159</v>
      </c>
      <c r="C65" s="2" t="s">
        <v>167</v>
      </c>
      <c r="D65" s="2" t="s">
        <v>173</v>
      </c>
      <c r="E65" s="2">
        <v>36541</v>
      </c>
      <c r="F65" s="3">
        <v>42449</v>
      </c>
      <c r="G65" s="2">
        <v>2</v>
      </c>
      <c r="H65" s="2" t="s">
        <v>179</v>
      </c>
      <c r="I65" s="2" t="s">
        <v>235</v>
      </c>
    </row>
    <row r="66" spans="1:9" x14ac:dyDescent="0.35">
      <c r="A66" s="2" t="s">
        <v>73</v>
      </c>
      <c r="B66" s="2" t="s">
        <v>161</v>
      </c>
      <c r="C66" s="2" t="s">
        <v>169</v>
      </c>
      <c r="D66" s="2" t="s">
        <v>174</v>
      </c>
      <c r="E66" s="2">
        <v>84737</v>
      </c>
      <c r="F66" s="3">
        <v>42456</v>
      </c>
      <c r="G66" s="2">
        <v>1</v>
      </c>
      <c r="H66" s="2" t="s">
        <v>180</v>
      </c>
      <c r="I66" s="2" t="s">
        <v>236</v>
      </c>
    </row>
    <row r="67" spans="1:9" x14ac:dyDescent="0.35">
      <c r="A67" s="2" t="s">
        <v>74</v>
      </c>
      <c r="B67" s="2" t="s">
        <v>163</v>
      </c>
      <c r="C67" s="2" t="s">
        <v>166</v>
      </c>
      <c r="D67" s="2" t="s">
        <v>174</v>
      </c>
      <c r="E67" s="2">
        <v>33468</v>
      </c>
      <c r="F67" s="3">
        <v>42463</v>
      </c>
      <c r="G67" s="2">
        <v>4</v>
      </c>
      <c r="H67" s="2" t="s">
        <v>180</v>
      </c>
      <c r="I67" s="2" t="s">
        <v>237</v>
      </c>
    </row>
    <row r="68" spans="1:9" x14ac:dyDescent="0.35">
      <c r="A68" s="2" t="s">
        <v>75</v>
      </c>
      <c r="B68" s="2" t="s">
        <v>163</v>
      </c>
      <c r="D68" s="2" t="s">
        <v>176</v>
      </c>
      <c r="E68" s="2">
        <v>96365</v>
      </c>
      <c r="F68" s="3">
        <v>42470</v>
      </c>
      <c r="G68" s="2">
        <v>3</v>
      </c>
      <c r="H68" s="2" t="s">
        <v>179</v>
      </c>
      <c r="I68" s="2" t="s">
        <v>238</v>
      </c>
    </row>
    <row r="69" spans="1:9" x14ac:dyDescent="0.35">
      <c r="A69" s="2" t="s">
        <v>76</v>
      </c>
      <c r="B69" s="2" t="s">
        <v>160</v>
      </c>
      <c r="C69" s="2" t="s">
        <v>168</v>
      </c>
      <c r="D69" s="2" t="s">
        <v>174</v>
      </c>
      <c r="E69" s="2">
        <v>61942</v>
      </c>
      <c r="F69" s="3">
        <v>42477</v>
      </c>
      <c r="G69" s="2">
        <v>3</v>
      </c>
      <c r="H69" s="2" t="s">
        <v>181</v>
      </c>
      <c r="I69" s="2" t="s">
        <v>239</v>
      </c>
    </row>
    <row r="70" spans="1:9" x14ac:dyDescent="0.35">
      <c r="A70" s="2" t="s">
        <v>77</v>
      </c>
      <c r="B70" s="2" t="s">
        <v>163</v>
      </c>
      <c r="C70" s="2" t="s">
        <v>166</v>
      </c>
      <c r="D70" s="2" t="s">
        <v>175</v>
      </c>
      <c r="E70" s="2">
        <v>41467</v>
      </c>
      <c r="F70" s="3">
        <v>42484</v>
      </c>
      <c r="G70" s="2">
        <v>2</v>
      </c>
      <c r="I70" s="2" t="s">
        <v>201</v>
      </c>
    </row>
    <row r="71" spans="1:9" x14ac:dyDescent="0.35">
      <c r="A71" s="2" t="s">
        <v>78</v>
      </c>
      <c r="B71" s="2" t="s">
        <v>165</v>
      </c>
      <c r="C71" s="2" t="s">
        <v>166</v>
      </c>
      <c r="D71" s="2" t="s">
        <v>174</v>
      </c>
      <c r="E71" s="2">
        <v>77096</v>
      </c>
      <c r="F71" s="3">
        <v>42491</v>
      </c>
      <c r="G71" s="2">
        <v>1</v>
      </c>
      <c r="I71" s="2" t="s">
        <v>240</v>
      </c>
    </row>
    <row r="72" spans="1:9" x14ac:dyDescent="0.35">
      <c r="A72" s="2" t="s">
        <v>79</v>
      </c>
      <c r="B72" s="2" t="s">
        <v>159</v>
      </c>
      <c r="C72" s="2" t="s">
        <v>168</v>
      </c>
      <c r="D72" s="2" t="s">
        <v>176</v>
      </c>
      <c r="E72" s="2">
        <v>69952</v>
      </c>
      <c r="F72" s="3">
        <v>42498</v>
      </c>
      <c r="G72" s="2">
        <v>5</v>
      </c>
      <c r="H72" s="2" t="s">
        <v>181</v>
      </c>
      <c r="I72" s="2" t="s">
        <v>182</v>
      </c>
    </row>
    <row r="73" spans="1:9" x14ac:dyDescent="0.35">
      <c r="A73" s="2" t="s">
        <v>80</v>
      </c>
      <c r="B73" s="2" t="s">
        <v>159</v>
      </c>
      <c r="C73" s="2" t="s">
        <v>170</v>
      </c>
      <c r="D73" s="2" t="s">
        <v>173</v>
      </c>
      <c r="E73" s="2">
        <v>85065</v>
      </c>
      <c r="F73" s="3">
        <v>42505</v>
      </c>
      <c r="G73" s="2">
        <v>3</v>
      </c>
      <c r="I73" s="2" t="s">
        <v>241</v>
      </c>
    </row>
    <row r="74" spans="1:9" x14ac:dyDescent="0.35">
      <c r="A74" s="2" t="s">
        <v>81</v>
      </c>
      <c r="B74" s="2" t="s">
        <v>165</v>
      </c>
      <c r="C74" s="2" t="s">
        <v>170</v>
      </c>
      <c r="D74" s="2" t="s">
        <v>174</v>
      </c>
      <c r="E74" s="2">
        <v>56512</v>
      </c>
      <c r="F74" s="3">
        <v>42512</v>
      </c>
      <c r="H74" s="2" t="s">
        <v>179</v>
      </c>
      <c r="I74" s="2" t="s">
        <v>190</v>
      </c>
    </row>
    <row r="75" spans="1:9" x14ac:dyDescent="0.35">
      <c r="A75" s="2" t="s">
        <v>82</v>
      </c>
      <c r="B75" s="2" t="s">
        <v>161</v>
      </c>
      <c r="C75" s="2" t="s">
        <v>168</v>
      </c>
      <c r="D75" s="2" t="s">
        <v>174</v>
      </c>
      <c r="E75" s="2">
        <v>91101</v>
      </c>
      <c r="F75" s="3">
        <v>42519</v>
      </c>
      <c r="G75" s="2">
        <v>4</v>
      </c>
      <c r="H75" s="2" t="s">
        <v>181</v>
      </c>
      <c r="I75" s="2" t="s">
        <v>234</v>
      </c>
    </row>
    <row r="76" spans="1:9" x14ac:dyDescent="0.35">
      <c r="A76" s="2" t="s">
        <v>83</v>
      </c>
      <c r="B76" s="2" t="s">
        <v>163</v>
      </c>
      <c r="D76" s="2" t="s">
        <v>172</v>
      </c>
      <c r="E76" s="2">
        <v>41243</v>
      </c>
      <c r="F76" s="3">
        <v>42526</v>
      </c>
      <c r="I76" s="2" t="s">
        <v>211</v>
      </c>
    </row>
    <row r="77" spans="1:9" x14ac:dyDescent="0.35">
      <c r="A77" s="2" t="s">
        <v>84</v>
      </c>
      <c r="C77" s="2" t="s">
        <v>168</v>
      </c>
      <c r="D77" s="2" t="s">
        <v>171</v>
      </c>
      <c r="E77" s="2">
        <v>96142</v>
      </c>
      <c r="F77" s="3">
        <v>42533</v>
      </c>
      <c r="G77" s="2">
        <v>1</v>
      </c>
      <c r="H77" s="2" t="s">
        <v>179</v>
      </c>
      <c r="I77" s="2" t="s">
        <v>242</v>
      </c>
    </row>
    <row r="78" spans="1:9" x14ac:dyDescent="0.35">
      <c r="A78" s="2" t="s">
        <v>85</v>
      </c>
      <c r="B78" s="2" t="s">
        <v>159</v>
      </c>
      <c r="C78" s="2" t="s">
        <v>169</v>
      </c>
      <c r="D78" s="2" t="s">
        <v>174</v>
      </c>
      <c r="E78" s="2">
        <v>94301</v>
      </c>
      <c r="F78" s="3">
        <v>42540</v>
      </c>
      <c r="G78" s="2">
        <v>1</v>
      </c>
      <c r="H78" s="2" t="s">
        <v>180</v>
      </c>
      <c r="I78" s="2" t="s">
        <v>223</v>
      </c>
    </row>
    <row r="79" spans="1:9" x14ac:dyDescent="0.35">
      <c r="A79" s="2" t="s">
        <v>86</v>
      </c>
      <c r="B79" s="2" t="s">
        <v>162</v>
      </c>
      <c r="D79" s="2" t="s">
        <v>175</v>
      </c>
      <c r="E79" s="2">
        <v>69166</v>
      </c>
      <c r="F79" s="3">
        <v>42547</v>
      </c>
      <c r="G79" s="2">
        <v>1</v>
      </c>
      <c r="H79" s="2" t="s">
        <v>181</v>
      </c>
      <c r="I79" s="2" t="s">
        <v>243</v>
      </c>
    </row>
    <row r="80" spans="1:9" x14ac:dyDescent="0.35">
      <c r="A80" s="2" t="s">
        <v>87</v>
      </c>
      <c r="B80" s="2" t="s">
        <v>163</v>
      </c>
      <c r="D80" s="2" t="s">
        <v>175</v>
      </c>
      <c r="E80" s="2">
        <v>78245</v>
      </c>
      <c r="F80" s="3">
        <v>42554</v>
      </c>
      <c r="G80" s="2">
        <v>2</v>
      </c>
      <c r="I80" s="2" t="s">
        <v>244</v>
      </c>
    </row>
    <row r="81" spans="1:9" x14ac:dyDescent="0.35">
      <c r="A81" s="2" t="s">
        <v>88</v>
      </c>
      <c r="B81" s="2" t="s">
        <v>164</v>
      </c>
      <c r="C81" s="2" t="s">
        <v>168</v>
      </c>
      <c r="D81" s="2" t="s">
        <v>173</v>
      </c>
      <c r="E81" s="2">
        <v>66079</v>
      </c>
      <c r="F81" s="3">
        <v>42561</v>
      </c>
      <c r="G81" s="2">
        <v>2</v>
      </c>
      <c r="H81" s="2" t="s">
        <v>179</v>
      </c>
      <c r="I81" s="2" t="s">
        <v>245</v>
      </c>
    </row>
    <row r="82" spans="1:9" x14ac:dyDescent="0.35">
      <c r="A82" s="2" t="s">
        <v>89</v>
      </c>
      <c r="B82" s="2" t="s">
        <v>159</v>
      </c>
      <c r="C82" s="2" t="s">
        <v>170</v>
      </c>
      <c r="D82" s="2" t="s">
        <v>174</v>
      </c>
      <c r="E82" s="2" t="s">
        <v>177</v>
      </c>
      <c r="I82" s="2" t="s">
        <v>208</v>
      </c>
    </row>
    <row r="83" spans="1:9" x14ac:dyDescent="0.35">
      <c r="A83" s="2" t="s">
        <v>90</v>
      </c>
      <c r="B83" s="2" t="s">
        <v>162</v>
      </c>
      <c r="C83" s="2" t="s">
        <v>168</v>
      </c>
      <c r="D83" s="2" t="s">
        <v>173</v>
      </c>
      <c r="E83" s="2">
        <v>95621</v>
      </c>
      <c r="F83" s="3">
        <v>42575</v>
      </c>
      <c r="G83" s="2">
        <v>3</v>
      </c>
      <c r="H83" s="2" t="s">
        <v>181</v>
      </c>
      <c r="I83" s="2" t="s">
        <v>246</v>
      </c>
    </row>
    <row r="84" spans="1:9" x14ac:dyDescent="0.35">
      <c r="A84" s="2" t="s">
        <v>91</v>
      </c>
      <c r="B84" s="2" t="s">
        <v>159</v>
      </c>
      <c r="C84" s="2" t="s">
        <v>169</v>
      </c>
      <c r="D84" s="2" t="s">
        <v>175</v>
      </c>
      <c r="E84" s="2">
        <v>42262</v>
      </c>
      <c r="F84" s="3">
        <v>42582</v>
      </c>
      <c r="G84" s="2">
        <v>1</v>
      </c>
      <c r="I84" s="2" t="s">
        <v>247</v>
      </c>
    </row>
    <row r="85" spans="1:9" x14ac:dyDescent="0.35">
      <c r="A85" s="2" t="s">
        <v>92</v>
      </c>
      <c r="B85" s="2" t="s">
        <v>163</v>
      </c>
      <c r="C85" s="2" t="s">
        <v>168</v>
      </c>
      <c r="D85" s="2" t="s">
        <v>174</v>
      </c>
      <c r="E85" s="2">
        <v>99621</v>
      </c>
      <c r="F85" s="3">
        <v>42589</v>
      </c>
      <c r="H85" s="2" t="s">
        <v>179</v>
      </c>
      <c r="I85" s="2" t="s">
        <v>248</v>
      </c>
    </row>
    <row r="86" spans="1:9" x14ac:dyDescent="0.35">
      <c r="A86" s="2" t="s">
        <v>93</v>
      </c>
      <c r="B86" s="2" t="s">
        <v>161</v>
      </c>
      <c r="C86" s="2" t="s">
        <v>170</v>
      </c>
      <c r="D86" s="2" t="s">
        <v>174</v>
      </c>
      <c r="E86" s="2">
        <v>44682</v>
      </c>
      <c r="F86" s="3">
        <v>42596</v>
      </c>
      <c r="G86" s="2">
        <v>4</v>
      </c>
      <c r="H86" s="2" t="s">
        <v>181</v>
      </c>
      <c r="I86" s="2" t="s">
        <v>220</v>
      </c>
    </row>
    <row r="87" spans="1:9" x14ac:dyDescent="0.35">
      <c r="A87" s="2" t="s">
        <v>94</v>
      </c>
      <c r="B87" s="2" t="s">
        <v>164</v>
      </c>
      <c r="C87" s="2" t="s">
        <v>166</v>
      </c>
      <c r="E87" s="2">
        <v>35163</v>
      </c>
      <c r="F87" s="3">
        <v>42603</v>
      </c>
      <c r="G87" s="2">
        <v>5</v>
      </c>
      <c r="H87" s="2" t="s">
        <v>179</v>
      </c>
      <c r="I87" s="2" t="s">
        <v>249</v>
      </c>
    </row>
    <row r="88" spans="1:9" x14ac:dyDescent="0.35">
      <c r="A88" s="2" t="s">
        <v>95</v>
      </c>
      <c r="B88" s="2" t="s">
        <v>164</v>
      </c>
      <c r="C88" s="2" t="s">
        <v>169</v>
      </c>
      <c r="D88" s="2" t="s">
        <v>174</v>
      </c>
      <c r="E88" s="2">
        <v>33483</v>
      </c>
      <c r="F88" s="3">
        <v>42610</v>
      </c>
      <c r="G88" s="2">
        <v>4</v>
      </c>
      <c r="H88" s="2" t="s">
        <v>180</v>
      </c>
      <c r="I88" s="2" t="s">
        <v>250</v>
      </c>
    </row>
    <row r="89" spans="1:9" x14ac:dyDescent="0.35">
      <c r="A89" s="2" t="s">
        <v>96</v>
      </c>
      <c r="B89" s="2" t="s">
        <v>163</v>
      </c>
      <c r="C89" s="2" t="s">
        <v>167</v>
      </c>
      <c r="D89" s="2" t="s">
        <v>172</v>
      </c>
      <c r="E89" s="2">
        <v>55303</v>
      </c>
      <c r="F89" s="3">
        <v>42617</v>
      </c>
      <c r="G89" s="2">
        <v>4</v>
      </c>
      <c r="H89" s="2" t="s">
        <v>180</v>
      </c>
      <c r="I89" s="2" t="s">
        <v>203</v>
      </c>
    </row>
    <row r="90" spans="1:9" x14ac:dyDescent="0.35">
      <c r="A90" s="2" t="s">
        <v>97</v>
      </c>
      <c r="B90" s="2" t="s">
        <v>164</v>
      </c>
      <c r="C90" s="2" t="s">
        <v>169</v>
      </c>
      <c r="E90" s="2">
        <v>63434</v>
      </c>
      <c r="F90" s="3">
        <v>42624</v>
      </c>
      <c r="G90" s="2">
        <v>3</v>
      </c>
      <c r="I90" s="2" t="s">
        <v>251</v>
      </c>
    </row>
    <row r="91" spans="1:9" x14ac:dyDescent="0.35">
      <c r="A91" s="2" t="s">
        <v>98</v>
      </c>
      <c r="B91" s="2" t="s">
        <v>162</v>
      </c>
      <c r="D91" s="2" t="s">
        <v>176</v>
      </c>
      <c r="E91" s="2">
        <v>38830</v>
      </c>
      <c r="F91" s="3">
        <v>42631</v>
      </c>
      <c r="G91" s="2">
        <v>3</v>
      </c>
      <c r="H91" s="2" t="s">
        <v>179</v>
      </c>
      <c r="I91" s="2" t="s">
        <v>203</v>
      </c>
    </row>
    <row r="92" spans="1:9" x14ac:dyDescent="0.35">
      <c r="A92" s="2" t="s">
        <v>99</v>
      </c>
      <c r="C92" s="2" t="s">
        <v>170</v>
      </c>
      <c r="D92" s="2" t="s">
        <v>175</v>
      </c>
      <c r="E92" s="2">
        <v>50741</v>
      </c>
      <c r="F92" s="3">
        <v>42638</v>
      </c>
      <c r="G92" s="2">
        <v>3</v>
      </c>
      <c r="H92" s="2" t="s">
        <v>178</v>
      </c>
      <c r="I92" s="2" t="s">
        <v>240</v>
      </c>
    </row>
    <row r="93" spans="1:9" x14ac:dyDescent="0.35">
      <c r="A93" s="2" t="s">
        <v>100</v>
      </c>
      <c r="B93" s="2" t="s">
        <v>160</v>
      </c>
      <c r="C93" s="2" t="s">
        <v>167</v>
      </c>
      <c r="D93" s="2" t="s">
        <v>176</v>
      </c>
      <c r="E93" s="2">
        <v>69420</v>
      </c>
      <c r="F93" s="3">
        <v>42645</v>
      </c>
      <c r="G93" s="2">
        <v>1</v>
      </c>
      <c r="H93" s="2" t="s">
        <v>180</v>
      </c>
      <c r="I93" s="2" t="s">
        <v>225</v>
      </c>
    </row>
    <row r="94" spans="1:9" x14ac:dyDescent="0.35">
      <c r="A94" s="2" t="s">
        <v>101</v>
      </c>
      <c r="B94" s="2" t="s">
        <v>162</v>
      </c>
      <c r="C94" s="2" t="s">
        <v>169</v>
      </c>
      <c r="E94" s="2">
        <v>80588</v>
      </c>
      <c r="F94" s="3">
        <v>42652</v>
      </c>
      <c r="G94" s="2">
        <v>5</v>
      </c>
      <c r="H94" s="2" t="s">
        <v>180</v>
      </c>
      <c r="I94" s="2" t="s">
        <v>216</v>
      </c>
    </row>
    <row r="95" spans="1:9" x14ac:dyDescent="0.35">
      <c r="A95" s="2" t="s">
        <v>102</v>
      </c>
      <c r="B95" s="2" t="s">
        <v>160</v>
      </c>
      <c r="D95" s="2" t="s">
        <v>173</v>
      </c>
      <c r="E95" s="2">
        <v>76238</v>
      </c>
      <c r="F95" s="3">
        <v>42659</v>
      </c>
      <c r="G95" s="2">
        <v>4</v>
      </c>
      <c r="H95" s="2" t="s">
        <v>180</v>
      </c>
      <c r="I95" s="2" t="s">
        <v>252</v>
      </c>
    </row>
    <row r="96" spans="1:9" x14ac:dyDescent="0.35">
      <c r="A96" s="2" t="s">
        <v>103</v>
      </c>
      <c r="B96" s="2" t="s">
        <v>165</v>
      </c>
      <c r="C96" s="2" t="s">
        <v>169</v>
      </c>
      <c r="D96" s="2" t="s">
        <v>174</v>
      </c>
      <c r="E96" s="2">
        <v>33264</v>
      </c>
      <c r="F96" s="3">
        <v>42666</v>
      </c>
      <c r="H96" s="2" t="s">
        <v>181</v>
      </c>
      <c r="I96" s="2" t="s">
        <v>253</v>
      </c>
    </row>
    <row r="97" spans="1:9" x14ac:dyDescent="0.35">
      <c r="A97" s="2" t="s">
        <v>104</v>
      </c>
      <c r="B97" s="2" t="s">
        <v>160</v>
      </c>
      <c r="C97" s="2" t="s">
        <v>166</v>
      </c>
      <c r="D97" s="2" t="s">
        <v>176</v>
      </c>
      <c r="E97" s="2">
        <v>96101</v>
      </c>
      <c r="F97" s="3">
        <v>42673</v>
      </c>
      <c r="H97" s="2" t="s">
        <v>179</v>
      </c>
      <c r="I97" s="2" t="s">
        <v>254</v>
      </c>
    </row>
    <row r="98" spans="1:9" x14ac:dyDescent="0.35">
      <c r="A98" s="2" t="s">
        <v>105</v>
      </c>
      <c r="B98" s="2" t="s">
        <v>162</v>
      </c>
      <c r="C98" s="2" t="s">
        <v>166</v>
      </c>
      <c r="D98" s="2" t="s">
        <v>173</v>
      </c>
      <c r="E98" s="2">
        <v>72939</v>
      </c>
      <c r="F98" s="3">
        <v>42680</v>
      </c>
      <c r="G98" s="2">
        <v>3</v>
      </c>
      <c r="I98" s="2" t="s">
        <v>255</v>
      </c>
    </row>
    <row r="99" spans="1:9" x14ac:dyDescent="0.35">
      <c r="A99" s="2" t="s">
        <v>106</v>
      </c>
      <c r="B99" s="2" t="s">
        <v>163</v>
      </c>
      <c r="C99" s="2" t="s">
        <v>167</v>
      </c>
      <c r="D99" s="2" t="s">
        <v>172</v>
      </c>
      <c r="E99" s="2">
        <v>89333</v>
      </c>
      <c r="F99" s="3">
        <v>42687</v>
      </c>
      <c r="G99" s="2">
        <v>1</v>
      </c>
      <c r="H99" s="2" t="s">
        <v>180</v>
      </c>
      <c r="I99" s="2" t="s">
        <v>256</v>
      </c>
    </row>
    <row r="100" spans="1:9" x14ac:dyDescent="0.35">
      <c r="A100" s="2" t="s">
        <v>107</v>
      </c>
      <c r="B100" s="2" t="s">
        <v>165</v>
      </c>
      <c r="C100" s="2" t="s">
        <v>169</v>
      </c>
      <c r="D100" s="2" t="s">
        <v>176</v>
      </c>
      <c r="E100" s="2">
        <v>70470</v>
      </c>
      <c r="F100" s="3">
        <v>42694</v>
      </c>
      <c r="H100" s="2" t="s">
        <v>180</v>
      </c>
      <c r="I100" s="2" t="s">
        <v>257</v>
      </c>
    </row>
    <row r="101" spans="1:9" x14ac:dyDescent="0.35">
      <c r="A101" s="2" t="s">
        <v>108</v>
      </c>
      <c r="B101" s="2" t="s">
        <v>159</v>
      </c>
      <c r="C101" s="2" t="s">
        <v>170</v>
      </c>
      <c r="D101" s="2" t="s">
        <v>173</v>
      </c>
      <c r="E101" s="2">
        <v>70096</v>
      </c>
      <c r="F101" s="3">
        <v>42701</v>
      </c>
      <c r="G101" s="2">
        <v>4</v>
      </c>
      <c r="H101" s="2" t="s">
        <v>180</v>
      </c>
      <c r="I101" s="2" t="s">
        <v>258</v>
      </c>
    </row>
    <row r="102" spans="1:9" x14ac:dyDescent="0.35">
      <c r="A102" s="2" t="s">
        <v>109</v>
      </c>
      <c r="B102" s="2" t="s">
        <v>165</v>
      </c>
      <c r="C102" s="2" t="s">
        <v>170</v>
      </c>
      <c r="D102" s="2" t="s">
        <v>171</v>
      </c>
      <c r="E102" s="2" t="s">
        <v>177</v>
      </c>
      <c r="F102" s="3">
        <v>42708</v>
      </c>
      <c r="G102" s="2">
        <v>2</v>
      </c>
      <c r="H102" s="2" t="s">
        <v>179</v>
      </c>
      <c r="I102" s="2" t="s">
        <v>259</v>
      </c>
    </row>
    <row r="103" spans="1:9" x14ac:dyDescent="0.35">
      <c r="A103" s="2" t="s">
        <v>110</v>
      </c>
      <c r="B103" s="2" t="s">
        <v>165</v>
      </c>
      <c r="C103" s="2" t="s">
        <v>169</v>
      </c>
      <c r="D103" s="2" t="s">
        <v>172</v>
      </c>
      <c r="E103" s="2">
        <v>66503</v>
      </c>
      <c r="F103" s="3">
        <v>42715</v>
      </c>
      <c r="H103" s="2" t="s">
        <v>180</v>
      </c>
      <c r="I103" s="2" t="s">
        <v>200</v>
      </c>
    </row>
    <row r="104" spans="1:9" x14ac:dyDescent="0.35">
      <c r="A104" s="2" t="s">
        <v>111</v>
      </c>
      <c r="B104" s="2" t="s">
        <v>160</v>
      </c>
      <c r="C104" s="2" t="s">
        <v>167</v>
      </c>
      <c r="D104" s="2" t="s">
        <v>172</v>
      </c>
      <c r="E104" s="2">
        <v>42096</v>
      </c>
      <c r="F104" s="3">
        <v>42722</v>
      </c>
      <c r="H104" s="2" t="s">
        <v>181</v>
      </c>
      <c r="I104" s="2" t="s">
        <v>260</v>
      </c>
    </row>
    <row r="105" spans="1:9" x14ac:dyDescent="0.35">
      <c r="A105" s="2" t="s">
        <v>112</v>
      </c>
      <c r="B105" s="2" t="s">
        <v>160</v>
      </c>
      <c r="C105" s="2" t="s">
        <v>170</v>
      </c>
      <c r="E105" s="2">
        <v>79145</v>
      </c>
      <c r="F105" s="3">
        <v>42729</v>
      </c>
      <c r="G105" s="2">
        <v>5</v>
      </c>
      <c r="H105" s="2" t="s">
        <v>179</v>
      </c>
      <c r="I105" s="2" t="s">
        <v>223</v>
      </c>
    </row>
    <row r="106" spans="1:9" x14ac:dyDescent="0.35">
      <c r="A106" s="2" t="s">
        <v>113</v>
      </c>
      <c r="B106" s="2" t="s">
        <v>162</v>
      </c>
      <c r="D106" s="2" t="s">
        <v>176</v>
      </c>
      <c r="E106" s="2">
        <v>61556</v>
      </c>
      <c r="F106" s="3">
        <v>42736</v>
      </c>
      <c r="G106" s="2">
        <v>1</v>
      </c>
      <c r="I106" s="2" t="s">
        <v>259</v>
      </c>
    </row>
    <row r="107" spans="1:9" x14ac:dyDescent="0.35">
      <c r="A107" s="2" t="s">
        <v>114</v>
      </c>
      <c r="C107" s="2" t="s">
        <v>167</v>
      </c>
      <c r="D107" s="2" t="s">
        <v>175</v>
      </c>
      <c r="E107" s="2">
        <v>87963</v>
      </c>
      <c r="F107" s="3">
        <v>42743</v>
      </c>
      <c r="G107" s="2">
        <v>3</v>
      </c>
      <c r="H107" s="2" t="s">
        <v>179</v>
      </c>
      <c r="I107" s="2" t="s">
        <v>182</v>
      </c>
    </row>
    <row r="108" spans="1:9" x14ac:dyDescent="0.35">
      <c r="A108" s="2" t="s">
        <v>115</v>
      </c>
      <c r="B108" s="2" t="s">
        <v>159</v>
      </c>
      <c r="C108" s="2" t="s">
        <v>169</v>
      </c>
      <c r="E108" s="2">
        <v>48325</v>
      </c>
      <c r="F108" s="3">
        <v>42750</v>
      </c>
      <c r="H108" s="2" t="s">
        <v>180</v>
      </c>
      <c r="I108" s="2" t="s">
        <v>261</v>
      </c>
    </row>
    <row r="109" spans="1:9" x14ac:dyDescent="0.35">
      <c r="A109" s="2" t="s">
        <v>116</v>
      </c>
      <c r="B109" s="2" t="s">
        <v>163</v>
      </c>
      <c r="C109" s="2" t="s">
        <v>170</v>
      </c>
      <c r="D109" s="2" t="s">
        <v>176</v>
      </c>
      <c r="E109" s="2">
        <v>86412</v>
      </c>
      <c r="F109" s="3">
        <v>42757</v>
      </c>
      <c r="G109" s="2">
        <v>2</v>
      </c>
      <c r="H109" s="2" t="s">
        <v>181</v>
      </c>
      <c r="I109" s="2" t="s">
        <v>202</v>
      </c>
    </row>
    <row r="110" spans="1:9" x14ac:dyDescent="0.35">
      <c r="A110" s="2" t="s">
        <v>117</v>
      </c>
      <c r="B110" s="2" t="s">
        <v>163</v>
      </c>
      <c r="C110" s="2" t="s">
        <v>167</v>
      </c>
      <c r="E110" s="2">
        <v>66761</v>
      </c>
      <c r="F110" s="3">
        <v>42764</v>
      </c>
      <c r="G110" s="2">
        <v>1</v>
      </c>
      <c r="I110" s="2" t="s">
        <v>262</v>
      </c>
    </row>
    <row r="111" spans="1:9" x14ac:dyDescent="0.35">
      <c r="A111" s="2" t="s">
        <v>118</v>
      </c>
      <c r="B111" s="2" t="s">
        <v>162</v>
      </c>
      <c r="D111" s="2" t="s">
        <v>174</v>
      </c>
      <c r="E111" s="2">
        <v>88850</v>
      </c>
      <c r="F111" s="3">
        <v>42771</v>
      </c>
      <c r="G111" s="2">
        <v>1</v>
      </c>
      <c r="H111" s="2" t="s">
        <v>181</v>
      </c>
      <c r="I111" s="2" t="s">
        <v>263</v>
      </c>
    </row>
    <row r="112" spans="1:9" x14ac:dyDescent="0.35">
      <c r="A112" s="2" t="s">
        <v>119</v>
      </c>
      <c r="B112" s="2" t="s">
        <v>164</v>
      </c>
      <c r="C112" s="2" t="s">
        <v>168</v>
      </c>
      <c r="D112" s="2" t="s">
        <v>174</v>
      </c>
      <c r="E112" s="2">
        <v>31293</v>
      </c>
      <c r="G112" s="2">
        <v>2</v>
      </c>
      <c r="H112" s="2" t="s">
        <v>181</v>
      </c>
      <c r="I112" s="2" t="s">
        <v>264</v>
      </c>
    </row>
    <row r="113" spans="1:9" x14ac:dyDescent="0.35">
      <c r="A113" s="2" t="s">
        <v>120</v>
      </c>
      <c r="B113" s="2" t="s">
        <v>164</v>
      </c>
      <c r="C113" s="2" t="s">
        <v>169</v>
      </c>
      <c r="D113" s="2" t="s">
        <v>173</v>
      </c>
      <c r="E113" s="2">
        <v>34306</v>
      </c>
      <c r="F113" s="3">
        <v>42785</v>
      </c>
      <c r="G113" s="2">
        <v>5</v>
      </c>
      <c r="H113" s="2" t="s">
        <v>181</v>
      </c>
      <c r="I113" s="2" t="s">
        <v>239</v>
      </c>
    </row>
    <row r="114" spans="1:9" x14ac:dyDescent="0.35">
      <c r="A114" s="2" t="s">
        <v>121</v>
      </c>
      <c r="B114" s="2" t="s">
        <v>159</v>
      </c>
      <c r="C114" s="2" t="s">
        <v>166</v>
      </c>
      <c r="D114" s="2" t="s">
        <v>174</v>
      </c>
      <c r="E114" s="2">
        <v>78330</v>
      </c>
      <c r="F114" s="3">
        <v>42792</v>
      </c>
      <c r="H114" s="2" t="s">
        <v>179</v>
      </c>
      <c r="I114" s="2" t="s">
        <v>258</v>
      </c>
    </row>
    <row r="115" spans="1:9" x14ac:dyDescent="0.35">
      <c r="A115" s="2" t="s">
        <v>122</v>
      </c>
      <c r="B115" s="2" t="s">
        <v>160</v>
      </c>
      <c r="C115" s="2" t="s">
        <v>169</v>
      </c>
      <c r="D115" s="2" t="s">
        <v>173</v>
      </c>
      <c r="E115" s="2">
        <v>47653</v>
      </c>
      <c r="F115" s="3">
        <v>42799</v>
      </c>
      <c r="G115" s="2">
        <v>1</v>
      </c>
      <c r="H115" s="2" t="s">
        <v>180</v>
      </c>
      <c r="I115" s="2" t="s">
        <v>265</v>
      </c>
    </row>
    <row r="116" spans="1:9" x14ac:dyDescent="0.35">
      <c r="A116" s="2" t="s">
        <v>123</v>
      </c>
      <c r="B116" s="2" t="s">
        <v>159</v>
      </c>
      <c r="C116" s="2" t="s">
        <v>170</v>
      </c>
      <c r="D116" s="2" t="s">
        <v>175</v>
      </c>
      <c r="E116" s="2">
        <v>44627</v>
      </c>
      <c r="F116" s="3">
        <v>42806</v>
      </c>
      <c r="G116" s="2">
        <v>4</v>
      </c>
      <c r="I116" s="2" t="s">
        <v>235</v>
      </c>
    </row>
    <row r="117" spans="1:9" x14ac:dyDescent="0.35">
      <c r="A117" s="2" t="s">
        <v>124</v>
      </c>
      <c r="B117" s="2" t="s">
        <v>165</v>
      </c>
      <c r="C117" s="2" t="s">
        <v>167</v>
      </c>
      <c r="D117" s="2" t="s">
        <v>172</v>
      </c>
      <c r="E117" s="2">
        <v>92343</v>
      </c>
      <c r="F117" s="3">
        <v>42813</v>
      </c>
      <c r="G117" s="2">
        <v>4</v>
      </c>
      <c r="H117" s="2" t="s">
        <v>181</v>
      </c>
      <c r="I117" s="2" t="s">
        <v>203</v>
      </c>
    </row>
    <row r="118" spans="1:9" x14ac:dyDescent="0.35">
      <c r="A118" s="2" t="s">
        <v>125</v>
      </c>
      <c r="B118" s="2" t="s">
        <v>165</v>
      </c>
      <c r="C118" s="2" t="s">
        <v>170</v>
      </c>
      <c r="D118" s="2" t="s">
        <v>176</v>
      </c>
      <c r="E118" s="2">
        <v>38837</v>
      </c>
      <c r="F118" s="3">
        <v>42820</v>
      </c>
      <c r="G118" s="2">
        <v>5</v>
      </c>
      <c r="H118" s="2" t="s">
        <v>181</v>
      </c>
      <c r="I118" s="2" t="s">
        <v>239</v>
      </c>
    </row>
    <row r="119" spans="1:9" x14ac:dyDescent="0.35">
      <c r="A119" s="2" t="s">
        <v>126</v>
      </c>
      <c r="B119" s="2" t="s">
        <v>165</v>
      </c>
      <c r="C119" s="2" t="s">
        <v>170</v>
      </c>
      <c r="E119" s="2">
        <v>73483</v>
      </c>
      <c r="F119" s="3">
        <v>42827</v>
      </c>
      <c r="G119" s="2">
        <v>1</v>
      </c>
      <c r="I119" s="2" t="s">
        <v>266</v>
      </c>
    </row>
    <row r="120" spans="1:9" x14ac:dyDescent="0.35">
      <c r="A120" s="2" t="s">
        <v>127</v>
      </c>
      <c r="B120" s="2" t="s">
        <v>164</v>
      </c>
      <c r="C120" s="2" t="s">
        <v>168</v>
      </c>
      <c r="D120" s="2" t="s">
        <v>174</v>
      </c>
      <c r="E120" s="2">
        <v>95032</v>
      </c>
      <c r="F120" s="3">
        <v>42834</v>
      </c>
      <c r="G120" s="2">
        <v>3</v>
      </c>
      <c r="I120" s="2" t="s">
        <v>267</v>
      </c>
    </row>
    <row r="121" spans="1:9" x14ac:dyDescent="0.35">
      <c r="A121" s="2" t="s">
        <v>128</v>
      </c>
      <c r="B121" s="2" t="s">
        <v>159</v>
      </c>
      <c r="C121" s="2" t="s">
        <v>168</v>
      </c>
      <c r="D121" s="2" t="s">
        <v>176</v>
      </c>
      <c r="E121" s="2">
        <v>44358</v>
      </c>
      <c r="F121" s="3">
        <v>42841</v>
      </c>
      <c r="H121" s="2" t="s">
        <v>181</v>
      </c>
      <c r="I121" s="2" t="s">
        <v>200</v>
      </c>
    </row>
    <row r="122" spans="1:9" x14ac:dyDescent="0.35">
      <c r="A122" s="2" t="s">
        <v>129</v>
      </c>
      <c r="C122" s="2" t="s">
        <v>169</v>
      </c>
      <c r="D122" s="2" t="s">
        <v>173</v>
      </c>
      <c r="E122" s="2" t="s">
        <v>177</v>
      </c>
      <c r="G122" s="2">
        <v>5</v>
      </c>
      <c r="H122" s="2" t="s">
        <v>178</v>
      </c>
      <c r="I122" s="2" t="s">
        <v>268</v>
      </c>
    </row>
    <row r="123" spans="1:9" x14ac:dyDescent="0.35">
      <c r="A123" s="2" t="s">
        <v>130</v>
      </c>
      <c r="B123" s="2" t="s">
        <v>164</v>
      </c>
      <c r="C123" s="2" t="s">
        <v>168</v>
      </c>
      <c r="D123" s="2" t="s">
        <v>173</v>
      </c>
      <c r="E123" s="2">
        <v>45676</v>
      </c>
      <c r="F123" s="3">
        <v>42855</v>
      </c>
      <c r="G123" s="2">
        <v>2</v>
      </c>
      <c r="I123" s="2" t="s">
        <v>269</v>
      </c>
    </row>
    <row r="124" spans="1:9" x14ac:dyDescent="0.35">
      <c r="A124" s="2" t="s">
        <v>131</v>
      </c>
      <c r="B124" s="2" t="s">
        <v>165</v>
      </c>
      <c r="C124" s="2" t="s">
        <v>168</v>
      </c>
      <c r="D124" s="2" t="s">
        <v>172</v>
      </c>
      <c r="E124" s="2">
        <v>52036</v>
      </c>
      <c r="F124" s="3">
        <v>42862</v>
      </c>
      <c r="G124" s="2">
        <v>3</v>
      </c>
      <c r="H124" s="2" t="s">
        <v>180</v>
      </c>
      <c r="I124" s="2" t="s">
        <v>270</v>
      </c>
    </row>
    <row r="125" spans="1:9" x14ac:dyDescent="0.35">
      <c r="A125" s="2" t="s">
        <v>132</v>
      </c>
      <c r="B125" s="2" t="s">
        <v>162</v>
      </c>
      <c r="D125" s="2" t="s">
        <v>172</v>
      </c>
      <c r="E125" s="2">
        <v>30357</v>
      </c>
      <c r="F125" s="3">
        <v>42869</v>
      </c>
      <c r="G125" s="2">
        <v>5</v>
      </c>
      <c r="H125" s="2" t="s">
        <v>180</v>
      </c>
      <c r="I125" s="2" t="s">
        <v>248</v>
      </c>
    </row>
    <row r="126" spans="1:9" x14ac:dyDescent="0.35">
      <c r="A126" s="2" t="s">
        <v>133</v>
      </c>
      <c r="B126" s="2" t="s">
        <v>161</v>
      </c>
      <c r="C126" s="2" t="s">
        <v>169</v>
      </c>
      <c r="E126" s="2">
        <v>60034</v>
      </c>
      <c r="F126" s="3">
        <v>42876</v>
      </c>
      <c r="G126" s="2">
        <v>1</v>
      </c>
      <c r="H126" s="2" t="s">
        <v>181</v>
      </c>
      <c r="I126" s="2" t="s">
        <v>271</v>
      </c>
    </row>
    <row r="127" spans="1:9" x14ac:dyDescent="0.35">
      <c r="A127" s="2" t="s">
        <v>134</v>
      </c>
      <c r="B127" s="2" t="s">
        <v>161</v>
      </c>
      <c r="C127" s="2" t="s">
        <v>166</v>
      </c>
      <c r="D127" s="2" t="s">
        <v>171</v>
      </c>
      <c r="E127" s="2">
        <v>90019</v>
      </c>
      <c r="F127" s="3">
        <v>42883</v>
      </c>
      <c r="G127" s="2">
        <v>5</v>
      </c>
      <c r="I127" s="2" t="s">
        <v>272</v>
      </c>
    </row>
    <row r="128" spans="1:9" x14ac:dyDescent="0.35">
      <c r="A128" s="2" t="s">
        <v>135</v>
      </c>
      <c r="B128" s="2" t="s">
        <v>165</v>
      </c>
      <c r="D128" s="2" t="s">
        <v>172</v>
      </c>
      <c r="E128" s="2">
        <v>71494</v>
      </c>
      <c r="F128" s="3">
        <v>42890</v>
      </c>
      <c r="G128" s="2">
        <v>3</v>
      </c>
      <c r="H128" s="2" t="s">
        <v>180</v>
      </c>
      <c r="I128" s="2" t="s">
        <v>273</v>
      </c>
    </row>
    <row r="129" spans="1:9" x14ac:dyDescent="0.35">
      <c r="A129" s="2" t="s">
        <v>136</v>
      </c>
      <c r="B129" s="2" t="s">
        <v>161</v>
      </c>
      <c r="C129" s="2" t="s">
        <v>166</v>
      </c>
      <c r="D129" s="2" t="s">
        <v>173</v>
      </c>
      <c r="E129" s="2">
        <v>91953</v>
      </c>
      <c r="F129" s="3">
        <v>42897</v>
      </c>
      <c r="G129" s="2">
        <v>2</v>
      </c>
      <c r="H129" s="2" t="s">
        <v>180</v>
      </c>
      <c r="I129" s="2" t="s">
        <v>209</v>
      </c>
    </row>
    <row r="130" spans="1:9" x14ac:dyDescent="0.35">
      <c r="A130" s="2" t="s">
        <v>137</v>
      </c>
      <c r="B130" s="2" t="s">
        <v>164</v>
      </c>
      <c r="C130" s="2" t="s">
        <v>168</v>
      </c>
      <c r="D130" s="2" t="s">
        <v>173</v>
      </c>
      <c r="E130" s="2">
        <v>30402</v>
      </c>
      <c r="F130" s="3">
        <v>42904</v>
      </c>
      <c r="G130" s="2">
        <v>1</v>
      </c>
      <c r="I130" s="2" t="s">
        <v>274</v>
      </c>
    </row>
    <row r="131" spans="1:9" x14ac:dyDescent="0.35">
      <c r="A131" s="2" t="s">
        <v>138</v>
      </c>
      <c r="B131" s="2" t="s">
        <v>165</v>
      </c>
      <c r="D131" s="2" t="s">
        <v>175</v>
      </c>
      <c r="E131" s="2">
        <v>62994</v>
      </c>
      <c r="F131" s="3">
        <v>42911</v>
      </c>
      <c r="I131" s="2" t="s">
        <v>221</v>
      </c>
    </row>
    <row r="132" spans="1:9" x14ac:dyDescent="0.35">
      <c r="A132" s="2" t="s">
        <v>139</v>
      </c>
      <c r="B132" s="2" t="s">
        <v>160</v>
      </c>
      <c r="C132" s="2" t="s">
        <v>168</v>
      </c>
      <c r="D132" s="2" t="s">
        <v>174</v>
      </c>
      <c r="E132" s="2">
        <v>48289</v>
      </c>
      <c r="G132" s="2">
        <v>3</v>
      </c>
      <c r="H132" s="2" t="s">
        <v>180</v>
      </c>
      <c r="I132" s="2" t="s">
        <v>189</v>
      </c>
    </row>
    <row r="133" spans="1:9" x14ac:dyDescent="0.35">
      <c r="A133" s="2" t="s">
        <v>140</v>
      </c>
      <c r="B133" s="2" t="s">
        <v>163</v>
      </c>
      <c r="C133" s="2" t="s">
        <v>170</v>
      </c>
      <c r="D133" s="2" t="s">
        <v>172</v>
      </c>
      <c r="E133" s="2">
        <v>34402</v>
      </c>
      <c r="F133" s="3">
        <v>42925</v>
      </c>
      <c r="G133" s="2">
        <v>3</v>
      </c>
      <c r="H133" s="2" t="s">
        <v>179</v>
      </c>
      <c r="I133" s="2" t="s">
        <v>218</v>
      </c>
    </row>
    <row r="134" spans="1:9" x14ac:dyDescent="0.35">
      <c r="A134" s="2" t="s">
        <v>141</v>
      </c>
      <c r="B134" s="2" t="s">
        <v>159</v>
      </c>
      <c r="C134" s="2" t="s">
        <v>167</v>
      </c>
      <c r="D134" s="2" t="s">
        <v>173</v>
      </c>
      <c r="E134" s="2">
        <v>38678</v>
      </c>
      <c r="F134" s="3">
        <v>42932</v>
      </c>
      <c r="G134" s="2">
        <v>3</v>
      </c>
      <c r="H134" s="2" t="s">
        <v>179</v>
      </c>
      <c r="I134" s="2" t="s">
        <v>275</v>
      </c>
    </row>
    <row r="135" spans="1:9" x14ac:dyDescent="0.35">
      <c r="A135" s="2" t="s">
        <v>142</v>
      </c>
      <c r="B135" s="2" t="s">
        <v>164</v>
      </c>
      <c r="C135" s="2" t="s">
        <v>167</v>
      </c>
      <c r="D135" s="2" t="s">
        <v>172</v>
      </c>
      <c r="E135" s="2">
        <v>45758</v>
      </c>
      <c r="F135" s="3">
        <v>42939</v>
      </c>
      <c r="G135" s="2">
        <v>3</v>
      </c>
      <c r="I135" s="2" t="s">
        <v>264</v>
      </c>
    </row>
    <row r="136" spans="1:9" x14ac:dyDescent="0.35">
      <c r="A136" s="2" t="s">
        <v>143</v>
      </c>
      <c r="B136" s="2" t="s">
        <v>159</v>
      </c>
      <c r="C136" s="2" t="s">
        <v>170</v>
      </c>
      <c r="D136" s="2" t="s">
        <v>174</v>
      </c>
      <c r="E136" s="2">
        <v>62476</v>
      </c>
      <c r="F136" s="3">
        <v>42946</v>
      </c>
      <c r="G136" s="2">
        <v>1</v>
      </c>
      <c r="H136" s="2" t="s">
        <v>179</v>
      </c>
      <c r="I136" s="2" t="s">
        <v>231</v>
      </c>
    </row>
    <row r="137" spans="1:9" x14ac:dyDescent="0.35">
      <c r="A137" s="2" t="s">
        <v>144</v>
      </c>
      <c r="C137" s="2" t="s">
        <v>169</v>
      </c>
      <c r="D137" s="2" t="s">
        <v>175</v>
      </c>
      <c r="E137" s="2">
        <v>39280</v>
      </c>
      <c r="F137" s="3">
        <v>42953</v>
      </c>
      <c r="G137" s="2">
        <v>3</v>
      </c>
      <c r="H137" s="2" t="s">
        <v>181</v>
      </c>
      <c r="I137" s="2" t="s">
        <v>214</v>
      </c>
    </row>
    <row r="138" spans="1:9" x14ac:dyDescent="0.35">
      <c r="A138" s="2" t="s">
        <v>145</v>
      </c>
      <c r="B138" s="2" t="s">
        <v>162</v>
      </c>
      <c r="C138" s="2" t="s">
        <v>166</v>
      </c>
      <c r="D138" s="2" t="s">
        <v>174</v>
      </c>
      <c r="E138" s="2">
        <v>60335</v>
      </c>
      <c r="F138" s="3">
        <v>42960</v>
      </c>
      <c r="G138" s="2">
        <v>4</v>
      </c>
      <c r="H138" s="2" t="s">
        <v>179</v>
      </c>
      <c r="I138" s="2" t="s">
        <v>227</v>
      </c>
    </row>
    <row r="139" spans="1:9" x14ac:dyDescent="0.35">
      <c r="A139" s="2" t="s">
        <v>146</v>
      </c>
      <c r="B139" s="2" t="s">
        <v>164</v>
      </c>
      <c r="C139" s="2" t="s">
        <v>167</v>
      </c>
      <c r="D139" s="2" t="s">
        <v>172</v>
      </c>
      <c r="E139" s="2">
        <v>84968</v>
      </c>
      <c r="F139" s="3">
        <v>42967</v>
      </c>
      <c r="I139" s="2" t="s">
        <v>276</v>
      </c>
    </row>
    <row r="140" spans="1:9" x14ac:dyDescent="0.35">
      <c r="A140" s="2" t="s">
        <v>147</v>
      </c>
      <c r="B140" s="2" t="s">
        <v>164</v>
      </c>
      <c r="C140" s="2" t="s">
        <v>170</v>
      </c>
      <c r="D140" s="2" t="s">
        <v>176</v>
      </c>
      <c r="E140" s="2">
        <v>84750</v>
      </c>
      <c r="F140" s="3">
        <v>42974</v>
      </c>
      <c r="G140" s="2">
        <v>4</v>
      </c>
      <c r="H140" s="2" t="s">
        <v>181</v>
      </c>
      <c r="I140" s="2" t="s">
        <v>195</v>
      </c>
    </row>
    <row r="141" spans="1:9" x14ac:dyDescent="0.35">
      <c r="A141" s="2" t="s">
        <v>148</v>
      </c>
      <c r="B141" s="2" t="s">
        <v>165</v>
      </c>
      <c r="C141" s="2" t="s">
        <v>169</v>
      </c>
      <c r="E141" s="2">
        <v>73348</v>
      </c>
      <c r="F141" s="3">
        <v>42981</v>
      </c>
      <c r="G141" s="2">
        <v>2</v>
      </c>
      <c r="I141" s="2" t="s">
        <v>243</v>
      </c>
    </row>
    <row r="142" spans="1:9" x14ac:dyDescent="0.35">
      <c r="A142" s="2" t="s">
        <v>149</v>
      </c>
      <c r="B142" s="2" t="s">
        <v>164</v>
      </c>
      <c r="C142" s="2" t="s">
        <v>168</v>
      </c>
      <c r="D142" s="2" t="s">
        <v>173</v>
      </c>
      <c r="E142" s="2" t="s">
        <v>177</v>
      </c>
      <c r="F142" s="3">
        <v>42988</v>
      </c>
      <c r="G142" s="2">
        <v>4</v>
      </c>
      <c r="H142" s="2" t="s">
        <v>179</v>
      </c>
      <c r="I142" s="2" t="s">
        <v>182</v>
      </c>
    </row>
    <row r="143" spans="1:9" x14ac:dyDescent="0.35">
      <c r="A143" s="2" t="s">
        <v>150</v>
      </c>
      <c r="B143" s="2" t="s">
        <v>162</v>
      </c>
      <c r="C143" s="2" t="s">
        <v>170</v>
      </c>
      <c r="D143" s="2" t="s">
        <v>173</v>
      </c>
      <c r="E143" s="2">
        <v>66882</v>
      </c>
      <c r="F143" s="3">
        <v>42995</v>
      </c>
      <c r="G143" s="2">
        <v>5</v>
      </c>
      <c r="H143" s="2" t="s">
        <v>179</v>
      </c>
      <c r="I143" s="2" t="s">
        <v>207</v>
      </c>
    </row>
    <row r="144" spans="1:9" x14ac:dyDescent="0.35">
      <c r="A144" s="2" t="s">
        <v>151</v>
      </c>
      <c r="B144" s="2" t="s">
        <v>160</v>
      </c>
      <c r="C144" s="2" t="s">
        <v>170</v>
      </c>
      <c r="E144" s="2">
        <v>86775</v>
      </c>
      <c r="F144" s="3">
        <v>43002</v>
      </c>
      <c r="G144" s="2">
        <v>3</v>
      </c>
      <c r="H144" s="2" t="s">
        <v>179</v>
      </c>
      <c r="I144" s="2" t="s">
        <v>212</v>
      </c>
    </row>
    <row r="145" spans="1:9" x14ac:dyDescent="0.35">
      <c r="A145" s="2" t="s">
        <v>152</v>
      </c>
      <c r="B145" s="2" t="s">
        <v>164</v>
      </c>
      <c r="C145" s="2" t="s">
        <v>168</v>
      </c>
      <c r="D145" s="2" t="s">
        <v>175</v>
      </c>
      <c r="E145" s="2">
        <v>91620</v>
      </c>
      <c r="F145" s="3">
        <v>43009</v>
      </c>
      <c r="I145" s="2" t="s">
        <v>277</v>
      </c>
    </row>
    <row r="146" spans="1:9" x14ac:dyDescent="0.35">
      <c r="A146" s="2" t="s">
        <v>153</v>
      </c>
      <c r="B146" s="2" t="s">
        <v>159</v>
      </c>
      <c r="E146" s="2">
        <v>94148</v>
      </c>
      <c r="F146" s="3">
        <v>43016</v>
      </c>
      <c r="G146" s="2">
        <v>2</v>
      </c>
      <c r="I146" s="2" t="s">
        <v>278</v>
      </c>
    </row>
    <row r="147" spans="1:9" x14ac:dyDescent="0.35">
      <c r="A147" s="2" t="s">
        <v>154</v>
      </c>
      <c r="B147" s="2" t="s">
        <v>163</v>
      </c>
      <c r="C147" s="2" t="s">
        <v>168</v>
      </c>
      <c r="D147" s="2" t="s">
        <v>176</v>
      </c>
      <c r="E147" s="2">
        <v>35627</v>
      </c>
      <c r="F147" s="3">
        <v>43023</v>
      </c>
      <c r="G147" s="2">
        <v>5</v>
      </c>
      <c r="H147" s="2" t="s">
        <v>181</v>
      </c>
      <c r="I147" s="2" t="s">
        <v>275</v>
      </c>
    </row>
    <row r="148" spans="1:9" x14ac:dyDescent="0.35">
      <c r="A148" s="2" t="s">
        <v>155</v>
      </c>
      <c r="B148" s="2" t="s">
        <v>161</v>
      </c>
      <c r="C148" s="2" t="s">
        <v>170</v>
      </c>
      <c r="D148" s="2" t="s">
        <v>173</v>
      </c>
      <c r="E148" s="2">
        <v>57141</v>
      </c>
      <c r="F148" s="3">
        <v>43030</v>
      </c>
      <c r="G148" s="2">
        <v>2</v>
      </c>
      <c r="I148" s="2" t="s">
        <v>276</v>
      </c>
    </row>
    <row r="149" spans="1:9" x14ac:dyDescent="0.35">
      <c r="A149" s="2" t="s">
        <v>156</v>
      </c>
      <c r="B149" s="2" t="s">
        <v>165</v>
      </c>
      <c r="C149" s="2" t="s">
        <v>168</v>
      </c>
      <c r="D149" s="2" t="s">
        <v>176</v>
      </c>
      <c r="E149" s="2">
        <v>65270</v>
      </c>
      <c r="F149" s="3">
        <v>43037</v>
      </c>
      <c r="G149" s="2">
        <v>1</v>
      </c>
      <c r="I149" s="2" t="s">
        <v>279</v>
      </c>
    </row>
    <row r="150" spans="1:9" x14ac:dyDescent="0.35">
      <c r="A150" s="2" t="s">
        <v>157</v>
      </c>
      <c r="B150" s="2" t="s">
        <v>165</v>
      </c>
      <c r="D150" s="2" t="s">
        <v>175</v>
      </c>
      <c r="E150" s="2">
        <v>67335</v>
      </c>
      <c r="F150" s="3">
        <v>43044</v>
      </c>
      <c r="G150" s="2">
        <v>1</v>
      </c>
      <c r="H150" s="2" t="s">
        <v>179</v>
      </c>
      <c r="I150" s="2" t="s">
        <v>233</v>
      </c>
    </row>
    <row r="151" spans="1:9" x14ac:dyDescent="0.35">
      <c r="A151" s="2" t="s">
        <v>158</v>
      </c>
      <c r="B151" s="2" t="s">
        <v>163</v>
      </c>
      <c r="C151" s="2" t="s">
        <v>170</v>
      </c>
      <c r="D151" s="2" t="s">
        <v>174</v>
      </c>
      <c r="E151" s="2">
        <v>98475</v>
      </c>
      <c r="F151" s="3">
        <v>43051</v>
      </c>
      <c r="G151" s="2">
        <v>5</v>
      </c>
      <c r="H151" s="2" t="s">
        <v>179</v>
      </c>
      <c r="I151" s="2"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zoomScale="70" zoomScaleNormal="70" workbookViewId="0">
      <selection sqref="A1:A1048576"/>
    </sheetView>
  </sheetViews>
  <sheetFormatPr defaultColWidth="8.90625" defaultRowHeight="14.5" x14ac:dyDescent="0.35"/>
  <cols>
    <col min="1" max="1" width="15.54296875" style="6" customWidth="1"/>
    <col min="2" max="2" width="14.54296875" style="6" customWidth="1"/>
    <col min="3" max="3" width="13" style="6" customWidth="1"/>
    <col min="4" max="4" width="13.453125" style="6" customWidth="1"/>
    <col min="5" max="5" width="14.1796875" style="6" customWidth="1"/>
    <col min="6" max="6" width="20.36328125" style="6" customWidth="1"/>
    <col min="7" max="7" width="19.54296875" style="6" customWidth="1"/>
    <col min="8" max="8" width="16.08984375" style="6" customWidth="1"/>
    <col min="9" max="9" width="26.6328125" style="6" customWidth="1"/>
    <col min="10" max="10" width="16.36328125" style="6" customWidth="1"/>
    <col min="11" max="11" width="11.36328125" style="5" bestFit="1" customWidth="1"/>
    <col min="12" max="12" width="11.08984375" style="5" bestFit="1" customWidth="1"/>
    <col min="13" max="13" width="13" customWidth="1"/>
    <col min="14" max="14" width="10.54296875" style="5" bestFit="1" customWidth="1"/>
    <col min="15" max="15" width="13.54296875" style="5" bestFit="1" customWidth="1"/>
    <col min="16" max="16" width="17.90625" style="5" bestFit="1" customWidth="1"/>
    <col min="17" max="16384" width="8.90625" style="5"/>
  </cols>
  <sheetData>
    <row r="1" spans="1:17" x14ac:dyDescent="0.35">
      <c r="A1" s="4" t="s">
        <v>0</v>
      </c>
      <c r="B1" s="4" t="s">
        <v>1</v>
      </c>
      <c r="C1" s="4" t="s">
        <v>2</v>
      </c>
      <c r="D1" s="4" t="s">
        <v>3</v>
      </c>
      <c r="E1" s="4" t="s">
        <v>4</v>
      </c>
      <c r="F1" s="4" t="s">
        <v>5</v>
      </c>
      <c r="G1" s="4" t="s">
        <v>6</v>
      </c>
      <c r="H1" s="4" t="s">
        <v>7</v>
      </c>
      <c r="I1" s="4" t="s">
        <v>8</v>
      </c>
      <c r="J1" s="7" t="s">
        <v>7</v>
      </c>
      <c r="K1" s="7" t="s">
        <v>1</v>
      </c>
      <c r="L1" s="7" t="s">
        <v>2</v>
      </c>
      <c r="M1" s="7" t="s">
        <v>3</v>
      </c>
      <c r="N1" s="7" t="s">
        <v>4</v>
      </c>
      <c r="O1" s="7" t="s">
        <v>5</v>
      </c>
      <c r="P1" s="7" t="s">
        <v>6</v>
      </c>
      <c r="Q1" s="7" t="s">
        <v>8</v>
      </c>
    </row>
    <row r="2" spans="1:17" x14ac:dyDescent="0.35">
      <c r="A2" s="6" t="s">
        <v>10</v>
      </c>
      <c r="B2" s="6" t="s">
        <v>159</v>
      </c>
      <c r="C2" s="6" t="s">
        <v>167</v>
      </c>
      <c r="D2" s="6" t="s">
        <v>172</v>
      </c>
      <c r="E2" s="6">
        <v>54255</v>
      </c>
      <c r="F2" s="8">
        <v>42015</v>
      </c>
      <c r="G2" s="6">
        <v>1</v>
      </c>
      <c r="H2" s="2" t="s">
        <v>181</v>
      </c>
      <c r="I2" s="6" t="s">
        <v>183</v>
      </c>
      <c r="J2" s="6" t="str">
        <f>PROPER(TRIM(H2))</f>
        <v>Female</v>
      </c>
      <c r="K2" s="5" t="str">
        <f>IF(TRIM(B2)="", "Unknown", PROPER(B2))</f>
        <v>Eve Adams</v>
      </c>
      <c r="L2" s="5" t="str" cm="1">
        <f t="array" ref="L2">IF(TRIM(C2)="",INDEX($C$2:$C$150,MATCH(MAX(COUNTIF($C$2:$C$150, $C$2:$C$150)), COUNTIF($C$2:$C$150, $C$2:$C$150), 0)),C2)</f>
        <v>HR</v>
      </c>
      <c r="M2" t="str" cm="1">
        <f t="array" ref="M2">IF(TRIM(D2)="",INDEX($D$2:$D$150,MATCH(MAX(COUNTIF($D$2:$D$150,$D$2:$D$150)),COUNTIF($D$2:$D$150,$D$2:$D$150),0)),D2)</f>
        <v>Germany</v>
      </c>
      <c r="N2" s="9">
        <f>IF(TRIM(E2)="N/A", AVERAGEIF($E$2:$E$150,"&lt;&gt;N/A"),E2)</f>
        <v>54255</v>
      </c>
      <c r="O2" s="10">
        <f>IF(TRIM(F2)="", MEDIAN($F$2:$F$150), F2)</f>
        <v>42015</v>
      </c>
      <c r="P2" s="9">
        <f>IF(TRIM(G2)="", AVERAGEIF($G$2:$G$150, "&lt;&gt;"), G2)</f>
        <v>1</v>
      </c>
      <c r="Q2" s="5" t="str">
        <f>IF(I2="invalid_Email","Unknown",LOWER(I2))</f>
        <v>user106@example.com</v>
      </c>
    </row>
    <row r="3" spans="1:17" x14ac:dyDescent="0.35">
      <c r="A3" s="6" t="s">
        <v>11</v>
      </c>
      <c r="B3" s="6" t="s">
        <v>160</v>
      </c>
      <c r="C3" s="6" t="s">
        <v>166</v>
      </c>
      <c r="D3" s="6" t="s">
        <v>172</v>
      </c>
      <c r="E3" s="6">
        <v>63184</v>
      </c>
      <c r="F3" s="8">
        <v>42022</v>
      </c>
      <c r="G3" s="6">
        <v>2</v>
      </c>
      <c r="H3" s="2" t="s">
        <v>181</v>
      </c>
      <c r="I3" s="6" t="s">
        <v>184</v>
      </c>
      <c r="J3" s="6" t="str">
        <f t="shared" ref="J3:J66" si="0">PROPER(TRIM(H3))</f>
        <v>Female</v>
      </c>
      <c r="K3" s="5" t="str">
        <f t="shared" ref="K3:K66" si="1">IF(TRIM(B3)="", "Unknown", PROPER(B3))</f>
        <v>Alice Brown</v>
      </c>
      <c r="L3" s="5" t="str" cm="1">
        <f t="array" ref="L3">IF(TRIM(C3)="",INDEX($C$2:$C$150,MATCH(MAX(COUNTIF($C$2:$C$150, $C$2:$C$150)), COUNTIF($C$2:$C$150, $C$2:$C$150), 0)),C3)</f>
        <v>Finance</v>
      </c>
      <c r="M3" t="str" cm="1">
        <f t="array" ref="M3">IF(TRIM(D3)="",INDEX($D$2:$D$150,MATCH(MAX(COUNTIF($D$2:$D$150,$D$2:$D$150)),COUNTIF($D$2:$D$150,$D$2:$D$150),0)),D3)</f>
        <v>Germany</v>
      </c>
      <c r="N3" s="9">
        <f t="shared" ref="N3:N66" si="2">IF(TRIM(E3)="N/A", AVERAGEIF($E$2:$E$150,"&lt;&gt;N/A"),E3)</f>
        <v>63184</v>
      </c>
      <c r="O3" s="10">
        <f t="shared" ref="O3:O66" si="3">IF(TRIM(F3)="", MEDIAN($F$2:$F$150), F3)</f>
        <v>42022</v>
      </c>
      <c r="P3" s="9">
        <f t="shared" ref="P3:P66" si="4">IF(TRIM(G3)="", AVERAGEIF($G$2:$G$150, "&lt;&gt;"), G3)</f>
        <v>2</v>
      </c>
      <c r="Q3" s="5" t="str">
        <f t="shared" ref="Q3:Q66" si="5">IF(I3="invalid_Email","Unknown",LOWER(I3))</f>
        <v>user176@example.com</v>
      </c>
    </row>
    <row r="4" spans="1:17" x14ac:dyDescent="0.35">
      <c r="A4" s="6" t="s">
        <v>12</v>
      </c>
      <c r="B4" s="6" t="s">
        <v>161</v>
      </c>
      <c r="C4" s="6" t="s">
        <v>168</v>
      </c>
      <c r="D4" s="6" t="s">
        <v>173</v>
      </c>
      <c r="E4" s="6">
        <v>94406</v>
      </c>
      <c r="F4" s="8">
        <v>42029</v>
      </c>
      <c r="G4" s="6">
        <v>1</v>
      </c>
      <c r="H4" s="2" t="s">
        <v>180</v>
      </c>
      <c r="I4" s="6" t="s">
        <v>185</v>
      </c>
      <c r="J4" s="6" t="str">
        <f t="shared" si="0"/>
        <v>Male</v>
      </c>
      <c r="K4" s="5" t="str">
        <f t="shared" si="1"/>
        <v>John Doe</v>
      </c>
      <c r="L4" s="5" t="str" cm="1">
        <f t="array" ref="L4">IF(TRIM(C4)="",INDEX($C$2:$C$150,MATCH(MAX(COUNTIF($C$2:$C$150, $C$2:$C$150)), COUNTIF($C$2:$C$150, $C$2:$C$150), 0)),C4)</f>
        <v>Sales</v>
      </c>
      <c r="M4" t="str" cm="1">
        <f t="array" ref="M4">IF(TRIM(D4)="",INDEX($D$2:$D$150,MATCH(MAX(COUNTIF($D$2:$D$150,$D$2:$D$150)),COUNTIF($D$2:$D$150,$D$2:$D$150),0)),D4)</f>
        <v>USA</v>
      </c>
      <c r="N4" s="9">
        <f t="shared" si="2"/>
        <v>94406</v>
      </c>
      <c r="O4" s="10">
        <f t="shared" si="3"/>
        <v>42029</v>
      </c>
      <c r="P4" s="9">
        <f t="shared" si="4"/>
        <v>1</v>
      </c>
      <c r="Q4" s="5" t="str">
        <f t="shared" si="5"/>
        <v>user168@example.com</v>
      </c>
    </row>
    <row r="5" spans="1:17" x14ac:dyDescent="0.35">
      <c r="A5" s="6" t="s">
        <v>13</v>
      </c>
      <c r="B5" s="6" t="s">
        <v>162</v>
      </c>
      <c r="C5" s="6" t="s">
        <v>168</v>
      </c>
      <c r="D5" s="6" t="s">
        <v>172</v>
      </c>
      <c r="E5" s="6">
        <v>64120</v>
      </c>
      <c r="F5" s="8">
        <v>42036</v>
      </c>
      <c r="G5" s="6">
        <v>1</v>
      </c>
      <c r="H5" s="2" t="s">
        <v>181</v>
      </c>
      <c r="I5" s="6" t="s">
        <v>186</v>
      </c>
      <c r="J5" s="6" t="str">
        <f t="shared" si="0"/>
        <v>Female</v>
      </c>
      <c r="K5" s="5" t="str">
        <f t="shared" si="1"/>
        <v>Jane Smith</v>
      </c>
      <c r="L5" s="5" t="str" cm="1">
        <f t="array" ref="L5">IF(TRIM(C5)="",INDEX($C$2:$C$150,MATCH(MAX(COUNTIF($C$2:$C$150, $C$2:$C$150)), COUNTIF($C$2:$C$150, $C$2:$C$150), 0)),C5)</f>
        <v>Sales</v>
      </c>
      <c r="M5" t="str" cm="1">
        <f t="array" ref="M5">IF(TRIM(D5)="",INDEX($D$2:$D$150,MATCH(MAX(COUNTIF($D$2:$D$150,$D$2:$D$150)),COUNTIF($D$2:$D$150,$D$2:$D$150),0)),D5)</f>
        <v>Germany</v>
      </c>
      <c r="N5" s="9">
        <f t="shared" si="2"/>
        <v>64120</v>
      </c>
      <c r="O5" s="10">
        <f t="shared" si="3"/>
        <v>42036</v>
      </c>
      <c r="P5" s="9">
        <f t="shared" si="4"/>
        <v>1</v>
      </c>
      <c r="Q5" s="5" t="str">
        <f t="shared" si="5"/>
        <v>user49@example.com</v>
      </c>
    </row>
    <row r="6" spans="1:17" x14ac:dyDescent="0.35">
      <c r="A6" s="6" t="s">
        <v>14</v>
      </c>
      <c r="B6" s="6" t="s">
        <v>160</v>
      </c>
      <c r="C6" s="6" t="s">
        <v>169</v>
      </c>
      <c r="D6" s="6" t="s">
        <v>174</v>
      </c>
      <c r="E6" s="6">
        <v>78421</v>
      </c>
      <c r="F6" s="8">
        <v>42043</v>
      </c>
      <c r="G6" s="6">
        <v>2</v>
      </c>
      <c r="H6" s="2" t="s">
        <v>181</v>
      </c>
      <c r="I6" s="6" t="s">
        <v>187</v>
      </c>
      <c r="J6" s="6" t="str">
        <f t="shared" si="0"/>
        <v>Female</v>
      </c>
      <c r="K6" s="5" t="str">
        <f t="shared" si="1"/>
        <v>Alice Brown</v>
      </c>
      <c r="L6" s="5" t="str" cm="1">
        <f t="array" ref="L6">IF(TRIM(C6)="",INDEX($C$2:$C$150,MATCH(MAX(COUNTIF($C$2:$C$150, $C$2:$C$150)), COUNTIF($C$2:$C$150, $C$2:$C$150), 0)),C6)</f>
        <v>IT</v>
      </c>
      <c r="M6" t="str" cm="1">
        <f t="array" ref="M6">IF(TRIM(D6)="",INDEX($D$2:$D$150,MATCH(MAX(COUNTIF($D$2:$D$150,$D$2:$D$150)),COUNTIF($D$2:$D$150,$D$2:$D$150),0)),D6)</f>
        <v>India</v>
      </c>
      <c r="N6" s="9">
        <f t="shared" si="2"/>
        <v>78421</v>
      </c>
      <c r="O6" s="10">
        <f t="shared" si="3"/>
        <v>42043</v>
      </c>
      <c r="P6" s="9">
        <f t="shared" si="4"/>
        <v>2</v>
      </c>
      <c r="Q6" s="5" t="str">
        <f t="shared" si="5"/>
        <v>user24@example.com</v>
      </c>
    </row>
    <row r="7" spans="1:17" x14ac:dyDescent="0.35">
      <c r="A7" s="6" t="s">
        <v>15</v>
      </c>
      <c r="B7" s="6" t="s">
        <v>163</v>
      </c>
      <c r="C7" s="6" t="s">
        <v>168</v>
      </c>
      <c r="E7" s="6">
        <v>67721</v>
      </c>
      <c r="F7" s="8">
        <v>42050</v>
      </c>
      <c r="H7" s="2" t="s">
        <v>180</v>
      </c>
      <c r="I7" s="6" t="s">
        <v>185</v>
      </c>
      <c r="J7" s="6" t="str">
        <f t="shared" si="0"/>
        <v>Male</v>
      </c>
      <c r="K7" s="5" t="str">
        <f t="shared" si="1"/>
        <v>Sam Wilson</v>
      </c>
      <c r="L7" s="5" t="str" cm="1">
        <f t="array" ref="L7">IF(TRIM(C7)="",INDEX($C$2:$C$150,MATCH(MAX(COUNTIF($C$2:$C$150, $C$2:$C$150)), COUNTIF($C$2:$C$150, $C$2:$C$150), 0)),C7)</f>
        <v>Sales</v>
      </c>
      <c r="M7" t="str" cm="1">
        <f t="array" ref="M7">IF(TRIM(D7)="",INDEX($D$2:$D$150,MATCH(MAX(COUNTIF($D$2:$D$150,$D$2:$D$150)),COUNTIF($D$2:$D$150,$D$2:$D$150),0)),D7)</f>
        <v>India</v>
      </c>
      <c r="N7" s="9">
        <f t="shared" si="2"/>
        <v>67721</v>
      </c>
      <c r="O7" s="10">
        <f t="shared" si="3"/>
        <v>42050</v>
      </c>
      <c r="P7" s="9">
        <f t="shared" si="4"/>
        <v>2.879032258064516</v>
      </c>
      <c r="Q7" s="5" t="str">
        <f t="shared" si="5"/>
        <v>user168@example.com</v>
      </c>
    </row>
    <row r="8" spans="1:17" x14ac:dyDescent="0.35">
      <c r="A8" s="6" t="s">
        <v>16</v>
      </c>
      <c r="B8" s="6" t="s">
        <v>164</v>
      </c>
      <c r="C8" s="6" t="s">
        <v>170</v>
      </c>
      <c r="E8" s="6">
        <v>35364</v>
      </c>
      <c r="F8" s="8">
        <v>42057</v>
      </c>
      <c r="G8" s="6">
        <v>2</v>
      </c>
      <c r="H8" s="2" t="s">
        <v>181</v>
      </c>
      <c r="I8" s="6" t="s">
        <v>188</v>
      </c>
      <c r="J8" s="6" t="str">
        <f t="shared" si="0"/>
        <v>Female</v>
      </c>
      <c r="K8" s="5" t="str">
        <f t="shared" si="1"/>
        <v>Chris Lee</v>
      </c>
      <c r="L8" s="5" t="str" cm="1">
        <f t="array" ref="L8">IF(TRIM(C8)="",INDEX($C$2:$C$150,MATCH(MAX(COUNTIF($C$2:$C$150, $C$2:$C$150)), COUNTIF($C$2:$C$150, $C$2:$C$150), 0)),C8)</f>
        <v>Marketing</v>
      </c>
      <c r="M8" t="str" cm="1">
        <f t="array" ref="M8">IF(TRIM(D8)="",INDEX($D$2:$D$150,MATCH(MAX(COUNTIF($D$2:$D$150,$D$2:$D$150)),COUNTIF($D$2:$D$150,$D$2:$D$150),0)),D8)</f>
        <v>India</v>
      </c>
      <c r="N8" s="9">
        <f t="shared" si="2"/>
        <v>35364</v>
      </c>
      <c r="O8" s="10">
        <f t="shared" si="3"/>
        <v>42057</v>
      </c>
      <c r="P8" s="9">
        <f t="shared" si="4"/>
        <v>2</v>
      </c>
      <c r="Q8" s="5" t="str">
        <f t="shared" si="5"/>
        <v>user26@example.com</v>
      </c>
    </row>
    <row r="9" spans="1:17" x14ac:dyDescent="0.35">
      <c r="A9" s="6" t="s">
        <v>17</v>
      </c>
      <c r="B9" s="6" t="s">
        <v>160</v>
      </c>
      <c r="C9" s="6" t="s">
        <v>169</v>
      </c>
      <c r="D9" s="6" t="s">
        <v>172</v>
      </c>
      <c r="E9" s="6">
        <v>97881</v>
      </c>
      <c r="F9" s="8">
        <v>42064</v>
      </c>
      <c r="H9" s="2" t="s">
        <v>181</v>
      </c>
      <c r="I9" s="6" t="s">
        <v>189</v>
      </c>
      <c r="J9" s="6" t="str">
        <f t="shared" si="0"/>
        <v>Female</v>
      </c>
      <c r="K9" s="5" t="str">
        <f t="shared" si="1"/>
        <v>Alice Brown</v>
      </c>
      <c r="L9" s="5" t="str" cm="1">
        <f t="array" ref="L9">IF(TRIM(C9)="",INDEX($C$2:$C$150,MATCH(MAX(COUNTIF($C$2:$C$150, $C$2:$C$150)), COUNTIF($C$2:$C$150, $C$2:$C$150), 0)),C9)</f>
        <v>IT</v>
      </c>
      <c r="M9" t="str" cm="1">
        <f t="array" ref="M9">IF(TRIM(D9)="",INDEX($D$2:$D$150,MATCH(MAX(COUNTIF($D$2:$D$150,$D$2:$D$150)),COUNTIF($D$2:$D$150,$D$2:$D$150),0)),D9)</f>
        <v>Germany</v>
      </c>
      <c r="N9" s="9">
        <f t="shared" si="2"/>
        <v>97881</v>
      </c>
      <c r="O9" s="10">
        <f t="shared" si="3"/>
        <v>42064</v>
      </c>
      <c r="P9" s="9">
        <f t="shared" si="4"/>
        <v>2.879032258064516</v>
      </c>
      <c r="Q9" s="5" t="str">
        <f t="shared" si="5"/>
        <v>user25@example.com</v>
      </c>
    </row>
    <row r="10" spans="1:17" x14ac:dyDescent="0.35">
      <c r="A10" s="6" t="s">
        <v>18</v>
      </c>
      <c r="B10" s="6" t="s">
        <v>164</v>
      </c>
      <c r="C10" s="6" t="s">
        <v>167</v>
      </c>
      <c r="D10" s="6" t="s">
        <v>175</v>
      </c>
      <c r="E10" s="6">
        <v>91846</v>
      </c>
      <c r="F10" s="8">
        <v>42071</v>
      </c>
      <c r="H10" s="2" t="s">
        <v>180</v>
      </c>
      <c r="I10" s="6" t="s">
        <v>190</v>
      </c>
      <c r="J10" s="6" t="str">
        <f t="shared" si="0"/>
        <v>Male</v>
      </c>
      <c r="K10" s="5" t="str">
        <f t="shared" si="1"/>
        <v>Chris Lee</v>
      </c>
      <c r="L10" s="5" t="str" cm="1">
        <f t="array" ref="L10">IF(TRIM(C10)="",INDEX($C$2:$C$150,MATCH(MAX(COUNTIF($C$2:$C$150, $C$2:$C$150)), COUNTIF($C$2:$C$150, $C$2:$C$150), 0)),C10)</f>
        <v>HR</v>
      </c>
      <c r="M10" t="str" cm="1">
        <f t="array" ref="M10">IF(TRIM(D10)="",INDEX($D$2:$D$150,MATCH(MAX(COUNTIF($D$2:$D$150,$D$2:$D$150)),COUNTIF($D$2:$D$150,$D$2:$D$150),0)),D10)</f>
        <v>UK</v>
      </c>
      <c r="N10" s="9">
        <f t="shared" si="2"/>
        <v>91846</v>
      </c>
      <c r="O10" s="10">
        <f t="shared" si="3"/>
        <v>42071</v>
      </c>
      <c r="P10" s="9">
        <f t="shared" si="4"/>
        <v>2.879032258064516</v>
      </c>
      <c r="Q10" s="5" t="str">
        <f t="shared" si="5"/>
        <v>user153@example.com</v>
      </c>
    </row>
    <row r="11" spans="1:17" x14ac:dyDescent="0.35">
      <c r="A11" s="6" t="s">
        <v>19</v>
      </c>
      <c r="B11" s="6" t="s">
        <v>163</v>
      </c>
      <c r="C11" s="6" t="s">
        <v>166</v>
      </c>
      <c r="D11" s="6" t="s">
        <v>175</v>
      </c>
      <c r="E11" s="6">
        <v>64247</v>
      </c>
      <c r="F11" s="8">
        <v>42078</v>
      </c>
      <c r="G11" s="6">
        <v>1</v>
      </c>
      <c r="H11" s="2" t="s">
        <v>180</v>
      </c>
      <c r="I11" s="6" t="s">
        <v>191</v>
      </c>
      <c r="J11" s="6" t="str">
        <f t="shared" si="0"/>
        <v>Male</v>
      </c>
      <c r="K11" s="5" t="str">
        <f t="shared" si="1"/>
        <v>Sam Wilson</v>
      </c>
      <c r="L11" s="5" t="str" cm="1">
        <f t="array" ref="L11">IF(TRIM(C11)="",INDEX($C$2:$C$150,MATCH(MAX(COUNTIF($C$2:$C$150, $C$2:$C$150)), COUNTIF($C$2:$C$150, $C$2:$C$150), 0)),C11)</f>
        <v>Finance</v>
      </c>
      <c r="M11" t="str" cm="1">
        <f t="array" ref="M11">IF(TRIM(D11)="",INDEX($D$2:$D$150,MATCH(MAX(COUNTIF($D$2:$D$150,$D$2:$D$150)),COUNTIF($D$2:$D$150,$D$2:$D$150),0)),D11)</f>
        <v>UK</v>
      </c>
      <c r="N11" s="9">
        <f t="shared" si="2"/>
        <v>64247</v>
      </c>
      <c r="O11" s="10">
        <f t="shared" si="3"/>
        <v>42078</v>
      </c>
      <c r="P11" s="9">
        <f t="shared" si="4"/>
        <v>1</v>
      </c>
      <c r="Q11" s="5" t="str">
        <f t="shared" si="5"/>
        <v>user18@example.com</v>
      </c>
    </row>
    <row r="12" spans="1:17" x14ac:dyDescent="0.35">
      <c r="A12" s="6" t="s">
        <v>20</v>
      </c>
      <c r="B12" s="6" t="s">
        <v>163</v>
      </c>
      <c r="C12" s="6" t="s">
        <v>169</v>
      </c>
      <c r="D12" s="6" t="s">
        <v>173</v>
      </c>
      <c r="E12" s="6">
        <v>91180</v>
      </c>
      <c r="F12" s="8">
        <v>42085</v>
      </c>
      <c r="G12" s="6">
        <v>5</v>
      </c>
      <c r="H12" s="2" t="s">
        <v>180</v>
      </c>
      <c r="I12" s="6" t="s">
        <v>192</v>
      </c>
      <c r="J12" s="6" t="str">
        <f t="shared" si="0"/>
        <v>Male</v>
      </c>
      <c r="K12" s="5" t="str">
        <f t="shared" si="1"/>
        <v>Sam Wilson</v>
      </c>
      <c r="L12" s="5" t="str" cm="1">
        <f t="array" ref="L12">IF(TRIM(C12)="",INDEX($C$2:$C$150,MATCH(MAX(COUNTIF($C$2:$C$150, $C$2:$C$150)), COUNTIF($C$2:$C$150, $C$2:$C$150), 0)),C12)</f>
        <v>IT</v>
      </c>
      <c r="M12" t="str" cm="1">
        <f t="array" ref="M12">IF(TRIM(D12)="",INDEX($D$2:$D$150,MATCH(MAX(COUNTIF($D$2:$D$150,$D$2:$D$150)),COUNTIF($D$2:$D$150,$D$2:$D$150),0)),D12)</f>
        <v>USA</v>
      </c>
      <c r="N12" s="9">
        <f t="shared" si="2"/>
        <v>91180</v>
      </c>
      <c r="O12" s="10">
        <f t="shared" si="3"/>
        <v>42085</v>
      </c>
      <c r="P12" s="9">
        <f t="shared" si="4"/>
        <v>5</v>
      </c>
      <c r="Q12" s="5" t="str">
        <f t="shared" si="5"/>
        <v>user1@example.com</v>
      </c>
    </row>
    <row r="13" spans="1:17" x14ac:dyDescent="0.35">
      <c r="A13" s="6" t="s">
        <v>21</v>
      </c>
      <c r="B13" s="6" t="s">
        <v>165</v>
      </c>
      <c r="C13" s="6" t="s">
        <v>168</v>
      </c>
      <c r="E13" s="6">
        <v>96418</v>
      </c>
      <c r="F13" s="8">
        <v>42092</v>
      </c>
      <c r="G13" s="6">
        <v>5</v>
      </c>
      <c r="H13" s="2" t="s">
        <v>180</v>
      </c>
      <c r="I13" s="6" t="s">
        <v>183</v>
      </c>
      <c r="J13" s="6" t="str">
        <f t="shared" si="0"/>
        <v>Male</v>
      </c>
      <c r="K13" s="5" t="str">
        <f t="shared" si="1"/>
        <v>Bob Johnson</v>
      </c>
      <c r="L13" s="5" t="str" cm="1">
        <f t="array" ref="L13">IF(TRIM(C13)="",INDEX($C$2:$C$150,MATCH(MAX(COUNTIF($C$2:$C$150, $C$2:$C$150)), COUNTIF($C$2:$C$150, $C$2:$C$150), 0)),C13)</f>
        <v>Sales</v>
      </c>
      <c r="M13" t="str" cm="1">
        <f t="array" ref="M13">IF(TRIM(D13)="",INDEX($D$2:$D$150,MATCH(MAX(COUNTIF($D$2:$D$150,$D$2:$D$150)),COUNTIF($D$2:$D$150,$D$2:$D$150),0)),D13)</f>
        <v>India</v>
      </c>
      <c r="N13" s="9">
        <f t="shared" si="2"/>
        <v>96418</v>
      </c>
      <c r="O13" s="10">
        <f t="shared" si="3"/>
        <v>42092</v>
      </c>
      <c r="P13" s="9">
        <f t="shared" si="4"/>
        <v>5</v>
      </c>
      <c r="Q13" s="5" t="str">
        <f t="shared" si="5"/>
        <v>user106@example.com</v>
      </c>
    </row>
    <row r="14" spans="1:17" x14ac:dyDescent="0.35">
      <c r="A14" s="6" t="s">
        <v>22</v>
      </c>
      <c r="B14" s="6" t="s">
        <v>163</v>
      </c>
      <c r="D14" s="6" t="s">
        <v>174</v>
      </c>
      <c r="E14" s="6">
        <v>62158</v>
      </c>
      <c r="F14" s="8">
        <v>42099</v>
      </c>
      <c r="G14" s="6">
        <v>4</v>
      </c>
      <c r="H14" s="2" t="s">
        <v>180</v>
      </c>
      <c r="I14" s="6" t="s">
        <v>193</v>
      </c>
      <c r="J14" s="6" t="str">
        <f t="shared" si="0"/>
        <v>Male</v>
      </c>
      <c r="K14" s="5" t="str">
        <f t="shared" si="1"/>
        <v>Sam Wilson</v>
      </c>
      <c r="L14" s="5" t="str" cm="1">
        <f t="array" ref="L14">IF(TRIM(C14)="",INDEX($C$2:$C$150,MATCH(MAX(COUNTIF($C$2:$C$150, $C$2:$C$150)), COUNTIF($C$2:$C$150, $C$2:$C$150), 0)),C14)</f>
        <v>Marketing</v>
      </c>
      <c r="M14" t="str" cm="1">
        <f t="array" ref="M14">IF(TRIM(D14)="",INDEX($D$2:$D$150,MATCH(MAX(COUNTIF($D$2:$D$150,$D$2:$D$150)),COUNTIF($D$2:$D$150,$D$2:$D$150),0)),D14)</f>
        <v>India</v>
      </c>
      <c r="N14" s="9">
        <f t="shared" si="2"/>
        <v>62158</v>
      </c>
      <c r="O14" s="10">
        <f t="shared" si="3"/>
        <v>42099</v>
      </c>
      <c r="P14" s="9">
        <f t="shared" si="4"/>
        <v>4</v>
      </c>
      <c r="Q14" s="5" t="str">
        <f t="shared" si="5"/>
        <v>user180@example.com</v>
      </c>
    </row>
    <row r="15" spans="1:17" x14ac:dyDescent="0.35">
      <c r="A15" s="6" t="s">
        <v>23</v>
      </c>
      <c r="B15" s="6" t="s">
        <v>162</v>
      </c>
      <c r="C15" s="6" t="s">
        <v>167</v>
      </c>
      <c r="E15" s="6">
        <v>59894</v>
      </c>
      <c r="F15" s="8">
        <v>42106</v>
      </c>
      <c r="G15" s="6">
        <v>2</v>
      </c>
      <c r="H15" s="2" t="s">
        <v>181</v>
      </c>
      <c r="I15" s="6" t="s">
        <v>194</v>
      </c>
      <c r="J15" s="6" t="str">
        <f t="shared" si="0"/>
        <v>Female</v>
      </c>
      <c r="K15" s="5" t="str">
        <f t="shared" si="1"/>
        <v>Jane Smith</v>
      </c>
      <c r="L15" s="5" t="str" cm="1">
        <f t="array" ref="L15">IF(TRIM(C15)="",INDEX($C$2:$C$150,MATCH(MAX(COUNTIF($C$2:$C$150, $C$2:$C$150)), COUNTIF($C$2:$C$150, $C$2:$C$150), 0)),C15)</f>
        <v>HR</v>
      </c>
      <c r="M15" t="str" cm="1">
        <f t="array" ref="M15">IF(TRIM(D15)="",INDEX($D$2:$D$150,MATCH(MAX(COUNTIF($D$2:$D$150,$D$2:$D$150)),COUNTIF($D$2:$D$150,$D$2:$D$150),0)),D15)</f>
        <v>India</v>
      </c>
      <c r="N15" s="9">
        <f t="shared" si="2"/>
        <v>59894</v>
      </c>
      <c r="O15" s="10">
        <f t="shared" si="3"/>
        <v>42106</v>
      </c>
      <c r="P15" s="9">
        <f t="shared" si="4"/>
        <v>2</v>
      </c>
      <c r="Q15" s="5" t="str">
        <f t="shared" si="5"/>
        <v>user184@example.com</v>
      </c>
    </row>
    <row r="16" spans="1:17" x14ac:dyDescent="0.35">
      <c r="A16" s="6" t="s">
        <v>24</v>
      </c>
      <c r="B16" s="6" t="s">
        <v>281</v>
      </c>
      <c r="C16" s="6" t="s">
        <v>169</v>
      </c>
      <c r="D16" s="6" t="s">
        <v>174</v>
      </c>
      <c r="E16" s="6">
        <v>92443</v>
      </c>
      <c r="F16" s="8">
        <v>42113</v>
      </c>
      <c r="G16" s="6">
        <v>3</v>
      </c>
      <c r="H16" s="2" t="s">
        <v>178</v>
      </c>
      <c r="I16" s="6" t="s">
        <v>195</v>
      </c>
      <c r="J16" s="6" t="str">
        <f t="shared" si="0"/>
        <v>Unknown</v>
      </c>
      <c r="K16" s="5" t="str">
        <f t="shared" si="1"/>
        <v>Unknown</v>
      </c>
      <c r="L16" s="5" t="str" cm="1">
        <f t="array" ref="L16">IF(TRIM(C16)="",INDEX($C$2:$C$150,MATCH(MAX(COUNTIF($C$2:$C$150, $C$2:$C$150)), COUNTIF($C$2:$C$150, $C$2:$C$150), 0)),C16)</f>
        <v>IT</v>
      </c>
      <c r="M16" t="str" cm="1">
        <f t="array" ref="M16">IF(TRIM(D16)="",INDEX($D$2:$D$150,MATCH(MAX(COUNTIF($D$2:$D$150,$D$2:$D$150)),COUNTIF($D$2:$D$150,$D$2:$D$150),0)),D16)</f>
        <v>India</v>
      </c>
      <c r="N16" s="9">
        <f t="shared" si="2"/>
        <v>92443</v>
      </c>
      <c r="O16" s="10">
        <f t="shared" si="3"/>
        <v>42113</v>
      </c>
      <c r="P16" s="9">
        <f t="shared" si="4"/>
        <v>3</v>
      </c>
      <c r="Q16" s="5" t="str">
        <f t="shared" si="5"/>
        <v>user3@example.com</v>
      </c>
    </row>
    <row r="17" spans="1:17" x14ac:dyDescent="0.35">
      <c r="A17" s="6" t="s">
        <v>25</v>
      </c>
      <c r="B17" s="6" t="s">
        <v>165</v>
      </c>
      <c r="D17" s="6" t="s">
        <v>172</v>
      </c>
      <c r="E17" s="6">
        <v>90271</v>
      </c>
      <c r="F17" s="8">
        <v>42120</v>
      </c>
      <c r="H17" s="2" t="s">
        <v>180</v>
      </c>
      <c r="I17" s="6" t="s">
        <v>196</v>
      </c>
      <c r="J17" s="6" t="str">
        <f t="shared" si="0"/>
        <v>Male</v>
      </c>
      <c r="K17" s="5" t="str">
        <f t="shared" si="1"/>
        <v>Bob Johnson</v>
      </c>
      <c r="L17" s="5" t="str" cm="1">
        <f t="array" ref="L17">IF(TRIM(C17)="",INDEX($C$2:$C$150,MATCH(MAX(COUNTIF($C$2:$C$150, $C$2:$C$150)), COUNTIF($C$2:$C$150, $C$2:$C$150), 0)),C17)</f>
        <v>Marketing</v>
      </c>
      <c r="M17" t="str" cm="1">
        <f t="array" ref="M17">IF(TRIM(D17)="",INDEX($D$2:$D$150,MATCH(MAX(COUNTIF($D$2:$D$150,$D$2:$D$150)),COUNTIF($D$2:$D$150,$D$2:$D$150),0)),D17)</f>
        <v>Germany</v>
      </c>
      <c r="N17" s="9">
        <f t="shared" si="2"/>
        <v>90271</v>
      </c>
      <c r="O17" s="10">
        <f t="shared" si="3"/>
        <v>42120</v>
      </c>
      <c r="P17" s="9">
        <f t="shared" si="4"/>
        <v>2.879032258064516</v>
      </c>
      <c r="Q17" s="5" t="str">
        <f t="shared" si="5"/>
        <v>user64@example.com</v>
      </c>
    </row>
    <row r="18" spans="1:17" x14ac:dyDescent="0.35">
      <c r="A18" s="6" t="s">
        <v>26</v>
      </c>
      <c r="B18" s="6" t="s">
        <v>162</v>
      </c>
      <c r="C18" s="6" t="s">
        <v>166</v>
      </c>
      <c r="D18" s="6" t="s">
        <v>176</v>
      </c>
      <c r="E18" s="6">
        <v>41341</v>
      </c>
      <c r="F18" s="8">
        <v>42127</v>
      </c>
      <c r="G18" s="6">
        <v>1</v>
      </c>
      <c r="H18" s="2" t="s">
        <v>181</v>
      </c>
      <c r="I18" s="6" t="s">
        <v>197</v>
      </c>
      <c r="J18" s="6" t="str">
        <f t="shared" si="0"/>
        <v>Female</v>
      </c>
      <c r="K18" s="5" t="str">
        <f t="shared" si="1"/>
        <v>Jane Smith</v>
      </c>
      <c r="L18" s="5" t="str" cm="1">
        <f t="array" ref="L18">IF(TRIM(C18)="",INDEX($C$2:$C$150,MATCH(MAX(COUNTIF($C$2:$C$150, $C$2:$C$150)), COUNTIF($C$2:$C$150, $C$2:$C$150), 0)),C18)</f>
        <v>Finance</v>
      </c>
      <c r="M18" t="str" cm="1">
        <f t="array" ref="M18">IF(TRIM(D18)="",INDEX($D$2:$D$150,MATCH(MAX(COUNTIF($D$2:$D$150,$D$2:$D$150)),COUNTIF($D$2:$D$150,$D$2:$D$150),0)),D18)</f>
        <v>Australia</v>
      </c>
      <c r="N18" s="9">
        <f t="shared" si="2"/>
        <v>41341</v>
      </c>
      <c r="O18" s="10">
        <f t="shared" si="3"/>
        <v>42127</v>
      </c>
      <c r="P18" s="9">
        <f t="shared" si="4"/>
        <v>1</v>
      </c>
      <c r="Q18" s="5" t="str">
        <f t="shared" si="5"/>
        <v>user38@example.com</v>
      </c>
    </row>
    <row r="19" spans="1:17" x14ac:dyDescent="0.35">
      <c r="A19" s="6" t="s">
        <v>27</v>
      </c>
      <c r="B19" s="6" t="s">
        <v>160</v>
      </c>
      <c r="C19" s="6" t="s">
        <v>166</v>
      </c>
      <c r="D19" s="6" t="s">
        <v>175</v>
      </c>
      <c r="E19" s="6">
        <v>73602</v>
      </c>
      <c r="F19" s="8">
        <v>42134</v>
      </c>
      <c r="H19" s="2" t="s">
        <v>181</v>
      </c>
      <c r="I19" s="6" t="s">
        <v>198</v>
      </c>
      <c r="J19" s="6" t="str">
        <f t="shared" si="0"/>
        <v>Female</v>
      </c>
      <c r="K19" s="5" t="str">
        <f t="shared" si="1"/>
        <v>Alice Brown</v>
      </c>
      <c r="L19" s="5" t="str" cm="1">
        <f t="array" ref="L19">IF(TRIM(C19)="",INDEX($C$2:$C$150,MATCH(MAX(COUNTIF($C$2:$C$150, $C$2:$C$150)), COUNTIF($C$2:$C$150, $C$2:$C$150), 0)),C19)</f>
        <v>Finance</v>
      </c>
      <c r="M19" t="str" cm="1">
        <f t="array" ref="M19">IF(TRIM(D19)="",INDEX($D$2:$D$150,MATCH(MAX(COUNTIF($D$2:$D$150,$D$2:$D$150)),COUNTIF($D$2:$D$150,$D$2:$D$150),0)),D19)</f>
        <v>UK</v>
      </c>
      <c r="N19" s="9">
        <f t="shared" si="2"/>
        <v>73602</v>
      </c>
      <c r="O19" s="10">
        <f t="shared" si="3"/>
        <v>42134</v>
      </c>
      <c r="P19" s="9">
        <f t="shared" si="4"/>
        <v>2.879032258064516</v>
      </c>
      <c r="Q19" s="5" t="str">
        <f t="shared" si="5"/>
        <v>user96@example.com</v>
      </c>
    </row>
    <row r="20" spans="1:17" x14ac:dyDescent="0.35">
      <c r="A20" s="6" t="s">
        <v>28</v>
      </c>
      <c r="B20" s="6" t="s">
        <v>159</v>
      </c>
      <c r="D20" s="6" t="s">
        <v>174</v>
      </c>
      <c r="E20" s="6">
        <v>67531</v>
      </c>
      <c r="F20" s="8">
        <v>42141</v>
      </c>
      <c r="G20" s="6">
        <v>5</v>
      </c>
      <c r="H20" s="2" t="s">
        <v>181</v>
      </c>
      <c r="I20" s="6" t="s">
        <v>199</v>
      </c>
      <c r="J20" s="6" t="str">
        <f t="shared" si="0"/>
        <v>Female</v>
      </c>
      <c r="K20" s="5" t="str">
        <f t="shared" si="1"/>
        <v>Eve Adams</v>
      </c>
      <c r="L20" s="5" t="str" cm="1">
        <f t="array" ref="L20">IF(TRIM(C20)="",INDEX($C$2:$C$150,MATCH(MAX(COUNTIF($C$2:$C$150, $C$2:$C$150)), COUNTIF($C$2:$C$150, $C$2:$C$150), 0)),C20)</f>
        <v>Marketing</v>
      </c>
      <c r="M20" t="str" cm="1">
        <f t="array" ref="M20">IF(TRIM(D20)="",INDEX($D$2:$D$150,MATCH(MAX(COUNTIF($D$2:$D$150,$D$2:$D$150)),COUNTIF($D$2:$D$150,$D$2:$D$150),0)),D20)</f>
        <v>India</v>
      </c>
      <c r="N20" s="9">
        <f t="shared" si="2"/>
        <v>67531</v>
      </c>
      <c r="O20" s="10">
        <f t="shared" si="3"/>
        <v>42141</v>
      </c>
      <c r="P20" s="9">
        <f t="shared" si="4"/>
        <v>5</v>
      </c>
      <c r="Q20" s="5" t="str">
        <f t="shared" si="5"/>
        <v>user151@example.com</v>
      </c>
    </row>
    <row r="21" spans="1:17" x14ac:dyDescent="0.35">
      <c r="A21" s="6" t="s">
        <v>29</v>
      </c>
      <c r="B21" s="6" t="s">
        <v>162</v>
      </c>
      <c r="C21" s="6" t="s">
        <v>167</v>
      </c>
      <c r="D21" s="6" t="s">
        <v>173</v>
      </c>
      <c r="E21" s="6" t="s">
        <v>177</v>
      </c>
      <c r="F21" s="8">
        <v>42148</v>
      </c>
      <c r="G21" s="6">
        <v>2</v>
      </c>
      <c r="H21" s="2" t="s">
        <v>181</v>
      </c>
      <c r="I21" s="6" t="s">
        <v>200</v>
      </c>
      <c r="J21" s="6" t="str">
        <f t="shared" si="0"/>
        <v>Female</v>
      </c>
      <c r="K21" s="5" t="str">
        <f t="shared" si="1"/>
        <v>Jane Smith</v>
      </c>
      <c r="L21" s="5" t="str" cm="1">
        <f t="array" ref="L21">IF(TRIM(C21)="",INDEX($C$2:$C$150,MATCH(MAX(COUNTIF($C$2:$C$150, $C$2:$C$150)), COUNTIF($C$2:$C$150, $C$2:$C$150), 0)),C21)</f>
        <v>HR</v>
      </c>
      <c r="M21" t="str" cm="1">
        <f t="array" ref="M21">IF(TRIM(D21)="",INDEX($D$2:$D$150,MATCH(MAX(COUNTIF($D$2:$D$150,$D$2:$D$150)),COUNTIF($D$2:$D$150,$D$2:$D$150),0)),D21)</f>
        <v>USA</v>
      </c>
      <c r="N21" s="9">
        <f t="shared" si="2"/>
        <v>66280.929577464791</v>
      </c>
      <c r="O21" s="10">
        <f t="shared" si="3"/>
        <v>42148</v>
      </c>
      <c r="P21" s="9">
        <f t="shared" si="4"/>
        <v>2</v>
      </c>
      <c r="Q21" s="5" t="str">
        <f t="shared" si="5"/>
        <v>user200@example.com</v>
      </c>
    </row>
    <row r="22" spans="1:17" x14ac:dyDescent="0.35">
      <c r="A22" s="6" t="s">
        <v>30</v>
      </c>
      <c r="B22" s="6" t="s">
        <v>162</v>
      </c>
      <c r="C22" s="6" t="s">
        <v>167</v>
      </c>
      <c r="E22" s="6">
        <v>98922</v>
      </c>
      <c r="F22" s="8">
        <v>42155</v>
      </c>
      <c r="G22" s="6">
        <v>4</v>
      </c>
      <c r="H22" s="2" t="s">
        <v>181</v>
      </c>
      <c r="I22" s="6" t="s">
        <v>201</v>
      </c>
      <c r="J22" s="6" t="str">
        <f t="shared" si="0"/>
        <v>Female</v>
      </c>
      <c r="K22" s="5" t="str">
        <f t="shared" si="1"/>
        <v>Jane Smith</v>
      </c>
      <c r="L22" s="5" t="str" cm="1">
        <f t="array" ref="L22">IF(TRIM(C22)="",INDEX($C$2:$C$150,MATCH(MAX(COUNTIF($C$2:$C$150, $C$2:$C$150)), COUNTIF($C$2:$C$150, $C$2:$C$150), 0)),C22)</f>
        <v>HR</v>
      </c>
      <c r="M22" t="str" cm="1">
        <f t="array" ref="M22">IF(TRIM(D22)="",INDEX($D$2:$D$150,MATCH(MAX(COUNTIF($D$2:$D$150,$D$2:$D$150)),COUNTIF($D$2:$D$150,$D$2:$D$150),0)),D22)</f>
        <v>India</v>
      </c>
      <c r="N22" s="9">
        <f t="shared" si="2"/>
        <v>98922</v>
      </c>
      <c r="O22" s="10">
        <f t="shared" si="3"/>
        <v>42155</v>
      </c>
      <c r="P22" s="9">
        <f t="shared" si="4"/>
        <v>4</v>
      </c>
      <c r="Q22" s="5" t="str">
        <f t="shared" si="5"/>
        <v>user77@example.com</v>
      </c>
    </row>
    <row r="23" spans="1:17" x14ac:dyDescent="0.35">
      <c r="A23" s="6" t="s">
        <v>31</v>
      </c>
      <c r="B23" s="6" t="s">
        <v>159</v>
      </c>
      <c r="C23" s="6" t="s">
        <v>166</v>
      </c>
      <c r="D23" s="6" t="s">
        <v>174</v>
      </c>
      <c r="E23" s="6">
        <v>38333</v>
      </c>
      <c r="F23" s="8">
        <v>42162</v>
      </c>
      <c r="G23" s="6">
        <v>5</v>
      </c>
      <c r="H23" s="2" t="s">
        <v>181</v>
      </c>
      <c r="I23" s="6" t="s">
        <v>202</v>
      </c>
      <c r="J23" s="6" t="str">
        <f t="shared" si="0"/>
        <v>Female</v>
      </c>
      <c r="K23" s="5" t="str">
        <f t="shared" si="1"/>
        <v>Eve Adams</v>
      </c>
      <c r="L23" s="5" t="str" cm="1">
        <f t="array" ref="L23">IF(TRIM(C23)="",INDEX($C$2:$C$150,MATCH(MAX(COUNTIF($C$2:$C$150, $C$2:$C$150)), COUNTIF($C$2:$C$150, $C$2:$C$150), 0)),C23)</f>
        <v>Finance</v>
      </c>
      <c r="M23" t="str" cm="1">
        <f t="array" ref="M23">IF(TRIM(D23)="",INDEX($D$2:$D$150,MATCH(MAX(COUNTIF($D$2:$D$150,$D$2:$D$150)),COUNTIF($D$2:$D$150,$D$2:$D$150),0)),D23)</f>
        <v>India</v>
      </c>
      <c r="N23" s="9">
        <f t="shared" si="2"/>
        <v>38333</v>
      </c>
      <c r="O23" s="10">
        <f t="shared" si="3"/>
        <v>42162</v>
      </c>
      <c r="P23" s="9">
        <f t="shared" si="4"/>
        <v>5</v>
      </c>
      <c r="Q23" s="5" t="str">
        <f t="shared" si="5"/>
        <v>user128@example.com</v>
      </c>
    </row>
    <row r="24" spans="1:17" x14ac:dyDescent="0.35">
      <c r="A24" s="6" t="s">
        <v>32</v>
      </c>
      <c r="B24" s="6" t="s">
        <v>160</v>
      </c>
      <c r="C24" s="6" t="s">
        <v>170</v>
      </c>
      <c r="D24" s="6" t="s">
        <v>175</v>
      </c>
      <c r="E24" s="6">
        <v>36515</v>
      </c>
      <c r="F24" s="8">
        <v>42169</v>
      </c>
      <c r="G24" s="6">
        <v>3</v>
      </c>
      <c r="H24" s="2" t="s">
        <v>181</v>
      </c>
      <c r="I24" s="6" t="s">
        <v>203</v>
      </c>
      <c r="J24" s="6" t="str">
        <f t="shared" si="0"/>
        <v>Female</v>
      </c>
      <c r="K24" s="5" t="str">
        <f t="shared" si="1"/>
        <v>Alice Brown</v>
      </c>
      <c r="L24" s="5" t="str" cm="1">
        <f t="array" ref="L24">IF(TRIM(C24)="",INDEX($C$2:$C$150,MATCH(MAX(COUNTIF($C$2:$C$150, $C$2:$C$150)), COUNTIF($C$2:$C$150, $C$2:$C$150), 0)),C24)</f>
        <v>Marketing</v>
      </c>
      <c r="M24" t="str" cm="1">
        <f t="array" ref="M24">IF(TRIM(D24)="",INDEX($D$2:$D$150,MATCH(MAX(COUNTIF($D$2:$D$150,$D$2:$D$150)),COUNTIF($D$2:$D$150,$D$2:$D$150),0)),D24)</f>
        <v>UK</v>
      </c>
      <c r="N24" s="9">
        <f t="shared" si="2"/>
        <v>36515</v>
      </c>
      <c r="O24" s="10">
        <f t="shared" si="3"/>
        <v>42169</v>
      </c>
      <c r="P24" s="9">
        <f t="shared" si="4"/>
        <v>3</v>
      </c>
      <c r="Q24" s="5" t="str">
        <f t="shared" si="5"/>
        <v>user149@example.com</v>
      </c>
    </row>
    <row r="25" spans="1:17" x14ac:dyDescent="0.35">
      <c r="A25" s="6" t="s">
        <v>33</v>
      </c>
      <c r="B25" s="6" t="s">
        <v>163</v>
      </c>
      <c r="C25" s="6" t="s">
        <v>166</v>
      </c>
      <c r="E25" s="6">
        <v>91005</v>
      </c>
      <c r="F25" s="8">
        <v>42176</v>
      </c>
      <c r="G25" s="6">
        <v>1</v>
      </c>
      <c r="H25" s="2" t="s">
        <v>180</v>
      </c>
      <c r="I25" s="6" t="s">
        <v>204</v>
      </c>
      <c r="J25" s="6" t="str">
        <f t="shared" si="0"/>
        <v>Male</v>
      </c>
      <c r="K25" s="5" t="str">
        <f t="shared" si="1"/>
        <v>Sam Wilson</v>
      </c>
      <c r="L25" s="5" t="str" cm="1">
        <f t="array" ref="L25">IF(TRIM(C25)="",INDEX($C$2:$C$150,MATCH(MAX(COUNTIF($C$2:$C$150, $C$2:$C$150)), COUNTIF($C$2:$C$150, $C$2:$C$150), 0)),C25)</f>
        <v>Finance</v>
      </c>
      <c r="M25" t="str" cm="1">
        <f t="array" ref="M25">IF(TRIM(D25)="",INDEX($D$2:$D$150,MATCH(MAX(COUNTIF($D$2:$D$150,$D$2:$D$150)),COUNTIF($D$2:$D$150,$D$2:$D$150),0)),D25)</f>
        <v>India</v>
      </c>
      <c r="N25" s="9">
        <f t="shared" si="2"/>
        <v>91005</v>
      </c>
      <c r="O25" s="10">
        <f t="shared" si="3"/>
        <v>42176</v>
      </c>
      <c r="P25" s="9">
        <f t="shared" si="4"/>
        <v>1</v>
      </c>
      <c r="Q25" s="5" t="str">
        <f t="shared" si="5"/>
        <v>user122@example.com</v>
      </c>
    </row>
    <row r="26" spans="1:17" x14ac:dyDescent="0.35">
      <c r="A26" s="6" t="s">
        <v>34</v>
      </c>
      <c r="B26" s="6" t="s">
        <v>164</v>
      </c>
      <c r="D26" s="6" t="s">
        <v>171</v>
      </c>
      <c r="E26" s="6">
        <v>52272</v>
      </c>
      <c r="F26" s="8">
        <v>42183</v>
      </c>
      <c r="G26" s="6">
        <v>3</v>
      </c>
      <c r="H26" s="2" t="s">
        <v>181</v>
      </c>
      <c r="I26" s="6" t="s">
        <v>205</v>
      </c>
      <c r="J26" s="6" t="str">
        <f t="shared" si="0"/>
        <v>Female</v>
      </c>
      <c r="K26" s="5" t="str">
        <f t="shared" si="1"/>
        <v>Chris Lee</v>
      </c>
      <c r="L26" s="5" t="str" cm="1">
        <f t="array" ref="L26">IF(TRIM(C26)="",INDEX($C$2:$C$150,MATCH(MAX(COUNTIF($C$2:$C$150, $C$2:$C$150)), COUNTIF($C$2:$C$150, $C$2:$C$150), 0)),C26)</f>
        <v>Marketing</v>
      </c>
      <c r="M26" t="str" cm="1">
        <f t="array" ref="M26">IF(TRIM(D26)="",INDEX($D$2:$D$150,MATCH(MAX(COUNTIF($D$2:$D$150,$D$2:$D$150)),COUNTIF($D$2:$D$150,$D$2:$D$150),0)),D26)</f>
        <v>India</v>
      </c>
      <c r="N26" s="9">
        <f t="shared" si="2"/>
        <v>52272</v>
      </c>
      <c r="O26" s="10">
        <f t="shared" si="3"/>
        <v>42183</v>
      </c>
      <c r="P26" s="9">
        <f t="shared" si="4"/>
        <v>3</v>
      </c>
      <c r="Q26" s="5" t="str">
        <f t="shared" si="5"/>
        <v>user41@example.com</v>
      </c>
    </row>
    <row r="27" spans="1:17" x14ac:dyDescent="0.35">
      <c r="A27" s="6" t="s">
        <v>35</v>
      </c>
      <c r="B27" s="6" t="s">
        <v>159</v>
      </c>
      <c r="C27" s="6" t="s">
        <v>168</v>
      </c>
      <c r="D27" s="6" t="s">
        <v>172</v>
      </c>
      <c r="E27" s="6">
        <v>76518</v>
      </c>
      <c r="F27" s="8">
        <v>42190</v>
      </c>
      <c r="G27" s="6">
        <v>2</v>
      </c>
      <c r="H27" s="2" t="s">
        <v>181</v>
      </c>
      <c r="I27" s="6" t="s">
        <v>206</v>
      </c>
      <c r="J27" s="6" t="str">
        <f t="shared" si="0"/>
        <v>Female</v>
      </c>
      <c r="K27" s="5" t="str">
        <f t="shared" si="1"/>
        <v>Eve Adams</v>
      </c>
      <c r="L27" s="5" t="str" cm="1">
        <f t="array" ref="L27">IF(TRIM(C27)="",INDEX($C$2:$C$150,MATCH(MAX(COUNTIF($C$2:$C$150, $C$2:$C$150)), COUNTIF($C$2:$C$150, $C$2:$C$150), 0)),C27)</f>
        <v>Sales</v>
      </c>
      <c r="M27" t="str" cm="1">
        <f t="array" ref="M27">IF(TRIM(D27)="",INDEX($D$2:$D$150,MATCH(MAX(COUNTIF($D$2:$D$150,$D$2:$D$150)),COUNTIF($D$2:$D$150,$D$2:$D$150),0)),D27)</f>
        <v>Germany</v>
      </c>
      <c r="N27" s="9">
        <f t="shared" si="2"/>
        <v>76518</v>
      </c>
      <c r="O27" s="10">
        <f t="shared" si="3"/>
        <v>42190</v>
      </c>
      <c r="P27" s="9">
        <f t="shared" si="4"/>
        <v>2</v>
      </c>
      <c r="Q27" s="5" t="str">
        <f t="shared" si="5"/>
        <v>user68@example.com</v>
      </c>
    </row>
    <row r="28" spans="1:17" x14ac:dyDescent="0.35">
      <c r="A28" s="6" t="s">
        <v>36</v>
      </c>
      <c r="B28" s="6" t="s">
        <v>160</v>
      </c>
      <c r="C28" s="6" t="s">
        <v>169</v>
      </c>
      <c r="D28" s="6" t="s">
        <v>175</v>
      </c>
      <c r="E28" s="6">
        <v>41448</v>
      </c>
      <c r="F28" s="8">
        <v>42197</v>
      </c>
      <c r="G28" s="6">
        <v>3</v>
      </c>
      <c r="H28" s="2" t="s">
        <v>181</v>
      </c>
      <c r="I28" s="6" t="s">
        <v>207</v>
      </c>
      <c r="J28" s="6" t="str">
        <f t="shared" si="0"/>
        <v>Female</v>
      </c>
      <c r="K28" s="5" t="str">
        <f t="shared" si="1"/>
        <v>Alice Brown</v>
      </c>
      <c r="L28" s="5" t="str" cm="1">
        <f t="array" ref="L28">IF(TRIM(C28)="",INDEX($C$2:$C$150,MATCH(MAX(COUNTIF($C$2:$C$150, $C$2:$C$150)), COUNTIF($C$2:$C$150, $C$2:$C$150), 0)),C28)</f>
        <v>IT</v>
      </c>
      <c r="M28" t="str" cm="1">
        <f t="array" ref="M28">IF(TRIM(D28)="",INDEX($D$2:$D$150,MATCH(MAX(COUNTIF($D$2:$D$150,$D$2:$D$150)),COUNTIF($D$2:$D$150,$D$2:$D$150),0)),D28)</f>
        <v>UK</v>
      </c>
      <c r="N28" s="9">
        <f t="shared" si="2"/>
        <v>41448</v>
      </c>
      <c r="O28" s="10">
        <f t="shared" si="3"/>
        <v>42197</v>
      </c>
      <c r="P28" s="9">
        <f t="shared" si="4"/>
        <v>3</v>
      </c>
      <c r="Q28" s="5" t="str">
        <f t="shared" si="5"/>
        <v>user103@example.com</v>
      </c>
    </row>
    <row r="29" spans="1:17" x14ac:dyDescent="0.35">
      <c r="A29" s="6" t="s">
        <v>37</v>
      </c>
      <c r="B29" s="6" t="s">
        <v>161</v>
      </c>
      <c r="C29" s="6" t="s">
        <v>167</v>
      </c>
      <c r="D29" s="6" t="s">
        <v>175</v>
      </c>
      <c r="E29" s="6">
        <v>49282</v>
      </c>
      <c r="F29" s="8">
        <v>42204</v>
      </c>
      <c r="G29" s="6">
        <v>2</v>
      </c>
      <c r="H29" s="2" t="s">
        <v>181</v>
      </c>
      <c r="I29" s="6" t="s">
        <v>208</v>
      </c>
      <c r="J29" s="6" t="str">
        <f t="shared" si="0"/>
        <v>Female</v>
      </c>
      <c r="K29" s="5" t="str">
        <f t="shared" si="1"/>
        <v>John Doe</v>
      </c>
      <c r="L29" s="5" t="str" cm="1">
        <f t="array" ref="L29">IF(TRIM(C29)="",INDEX($C$2:$C$150,MATCH(MAX(COUNTIF($C$2:$C$150, $C$2:$C$150)), COUNTIF($C$2:$C$150, $C$2:$C$150), 0)),C29)</f>
        <v>HR</v>
      </c>
      <c r="M29" t="str" cm="1">
        <f t="array" ref="M29">IF(TRIM(D29)="",INDEX($D$2:$D$150,MATCH(MAX(COUNTIF($D$2:$D$150,$D$2:$D$150)),COUNTIF($D$2:$D$150,$D$2:$D$150),0)),D29)</f>
        <v>UK</v>
      </c>
      <c r="N29" s="9">
        <f t="shared" si="2"/>
        <v>49282</v>
      </c>
      <c r="O29" s="10">
        <f t="shared" si="3"/>
        <v>42204</v>
      </c>
      <c r="P29" s="9">
        <f t="shared" si="4"/>
        <v>2</v>
      </c>
      <c r="Q29" s="5" t="str">
        <f t="shared" si="5"/>
        <v>user135@example.com</v>
      </c>
    </row>
    <row r="30" spans="1:17" x14ac:dyDescent="0.35">
      <c r="A30" s="6" t="s">
        <v>38</v>
      </c>
      <c r="B30" s="6" t="s">
        <v>165</v>
      </c>
      <c r="C30" s="6" t="s">
        <v>170</v>
      </c>
      <c r="D30" s="6" t="s">
        <v>175</v>
      </c>
      <c r="E30" s="6">
        <v>92959</v>
      </c>
      <c r="F30" s="8">
        <v>42211</v>
      </c>
      <c r="G30" s="6">
        <v>5</v>
      </c>
      <c r="H30" s="2" t="s">
        <v>180</v>
      </c>
      <c r="I30" s="6" t="s">
        <v>209</v>
      </c>
      <c r="J30" s="6" t="str">
        <f t="shared" si="0"/>
        <v>Male</v>
      </c>
      <c r="K30" s="5" t="str">
        <f t="shared" si="1"/>
        <v>Bob Johnson</v>
      </c>
      <c r="L30" s="5" t="str" cm="1">
        <f t="array" ref="L30">IF(TRIM(C30)="",INDEX($C$2:$C$150,MATCH(MAX(COUNTIF($C$2:$C$150, $C$2:$C$150)), COUNTIF($C$2:$C$150, $C$2:$C$150), 0)),C30)</f>
        <v>Marketing</v>
      </c>
      <c r="M30" t="str" cm="1">
        <f t="array" ref="M30">IF(TRIM(D30)="",INDEX($D$2:$D$150,MATCH(MAX(COUNTIF($D$2:$D$150,$D$2:$D$150)),COUNTIF($D$2:$D$150,$D$2:$D$150),0)),D30)</f>
        <v>UK</v>
      </c>
      <c r="N30" s="9">
        <f t="shared" si="2"/>
        <v>92959</v>
      </c>
      <c r="O30" s="10">
        <f t="shared" si="3"/>
        <v>42211</v>
      </c>
      <c r="P30" s="9">
        <f t="shared" si="4"/>
        <v>5</v>
      </c>
      <c r="Q30" s="5" t="str">
        <f t="shared" si="5"/>
        <v>user83@example.com</v>
      </c>
    </row>
    <row r="31" spans="1:17" x14ac:dyDescent="0.35">
      <c r="A31" s="6" t="s">
        <v>39</v>
      </c>
      <c r="B31" s="6" t="s">
        <v>281</v>
      </c>
      <c r="C31" s="6" t="s">
        <v>170</v>
      </c>
      <c r="E31" s="6">
        <v>92259</v>
      </c>
      <c r="F31" s="8"/>
      <c r="G31" s="6">
        <v>1</v>
      </c>
      <c r="H31" s="2" t="s">
        <v>178</v>
      </c>
      <c r="I31" s="6" t="s">
        <v>210</v>
      </c>
      <c r="J31" s="6" t="str">
        <f t="shared" si="0"/>
        <v>Unknown</v>
      </c>
      <c r="K31" s="5" t="str">
        <f t="shared" si="1"/>
        <v>Unknown</v>
      </c>
      <c r="L31" s="5" t="str" cm="1">
        <f t="array" ref="L31">IF(TRIM(C31)="",INDEX($C$2:$C$150,MATCH(MAX(COUNTIF($C$2:$C$150, $C$2:$C$150)), COUNTIF($C$2:$C$150, $C$2:$C$150), 0)),C31)</f>
        <v>Marketing</v>
      </c>
      <c r="M31" t="str" cm="1">
        <f t="array" ref="M31">IF(TRIM(D31)="",INDEX($D$2:$D$150,MATCH(MAX(COUNTIF($D$2:$D$150,$D$2:$D$150)),COUNTIF($D$2:$D$150,$D$2:$D$150),0)),D31)</f>
        <v>India</v>
      </c>
      <c r="N31" s="9">
        <f t="shared" si="2"/>
        <v>92259</v>
      </c>
      <c r="O31" s="10">
        <f t="shared" si="3"/>
        <v>42533</v>
      </c>
      <c r="P31" s="9">
        <f t="shared" si="4"/>
        <v>1</v>
      </c>
      <c r="Q31" s="5" t="str">
        <f t="shared" si="5"/>
        <v>user109@example.com</v>
      </c>
    </row>
    <row r="32" spans="1:17" x14ac:dyDescent="0.35">
      <c r="A32" s="6" t="s">
        <v>40</v>
      </c>
      <c r="B32" s="6" t="s">
        <v>159</v>
      </c>
      <c r="C32" s="6" t="s">
        <v>167</v>
      </c>
      <c r="D32" s="6" t="s">
        <v>172</v>
      </c>
      <c r="E32" s="6">
        <v>92299</v>
      </c>
      <c r="F32" s="8">
        <v>42225</v>
      </c>
      <c r="G32" s="6">
        <v>3</v>
      </c>
      <c r="H32" s="2" t="s">
        <v>181</v>
      </c>
      <c r="I32" s="6" t="s">
        <v>211</v>
      </c>
      <c r="J32" s="6" t="str">
        <f t="shared" si="0"/>
        <v>Female</v>
      </c>
      <c r="K32" s="5" t="str">
        <f t="shared" si="1"/>
        <v>Eve Adams</v>
      </c>
      <c r="L32" s="5" t="str" cm="1">
        <f t="array" ref="L32">IF(TRIM(C32)="",INDEX($C$2:$C$150,MATCH(MAX(COUNTIF($C$2:$C$150, $C$2:$C$150)), COUNTIF($C$2:$C$150, $C$2:$C$150), 0)),C32)</f>
        <v>HR</v>
      </c>
      <c r="M32" t="str" cm="1">
        <f t="array" ref="M32">IF(TRIM(D32)="",INDEX($D$2:$D$150,MATCH(MAX(COUNTIF($D$2:$D$150,$D$2:$D$150)),COUNTIF($D$2:$D$150,$D$2:$D$150),0)),D32)</f>
        <v>Germany</v>
      </c>
      <c r="N32" s="9">
        <f t="shared" si="2"/>
        <v>92299</v>
      </c>
      <c r="O32" s="10">
        <f t="shared" si="3"/>
        <v>42225</v>
      </c>
      <c r="P32" s="9">
        <f t="shared" si="4"/>
        <v>3</v>
      </c>
      <c r="Q32" s="5" t="str">
        <f t="shared" si="5"/>
        <v>user143@example.com</v>
      </c>
    </row>
    <row r="33" spans="1:17" x14ac:dyDescent="0.35">
      <c r="A33" s="6" t="s">
        <v>41</v>
      </c>
      <c r="B33" s="6" t="s">
        <v>163</v>
      </c>
      <c r="C33" s="6" t="s">
        <v>167</v>
      </c>
      <c r="E33" s="6">
        <v>95586</v>
      </c>
      <c r="F33" s="8">
        <v>42232</v>
      </c>
      <c r="G33" s="6">
        <v>3</v>
      </c>
      <c r="H33" s="2" t="s">
        <v>180</v>
      </c>
      <c r="I33" s="6" t="s">
        <v>212</v>
      </c>
      <c r="J33" s="6" t="str">
        <f t="shared" si="0"/>
        <v>Male</v>
      </c>
      <c r="K33" s="5" t="str">
        <f t="shared" si="1"/>
        <v>Sam Wilson</v>
      </c>
      <c r="L33" s="5" t="str" cm="1">
        <f t="array" ref="L33">IF(TRIM(C33)="",INDEX($C$2:$C$150,MATCH(MAX(COUNTIF($C$2:$C$150, $C$2:$C$150)), COUNTIF($C$2:$C$150, $C$2:$C$150), 0)),C33)</f>
        <v>HR</v>
      </c>
      <c r="M33" t="str" cm="1">
        <f t="array" ref="M33">IF(TRIM(D33)="",INDEX($D$2:$D$150,MATCH(MAX(COUNTIF($D$2:$D$150,$D$2:$D$150)),COUNTIF($D$2:$D$150,$D$2:$D$150),0)),D33)</f>
        <v>India</v>
      </c>
      <c r="N33" s="9">
        <f t="shared" si="2"/>
        <v>95586</v>
      </c>
      <c r="O33" s="10">
        <f t="shared" si="3"/>
        <v>42232</v>
      </c>
      <c r="P33" s="9">
        <f t="shared" si="4"/>
        <v>3</v>
      </c>
      <c r="Q33" s="5" t="str">
        <f t="shared" si="5"/>
        <v>user190@example.com</v>
      </c>
    </row>
    <row r="34" spans="1:17" x14ac:dyDescent="0.35">
      <c r="A34" s="6" t="s">
        <v>42</v>
      </c>
      <c r="B34" s="6" t="s">
        <v>164</v>
      </c>
      <c r="D34" s="6" t="s">
        <v>173</v>
      </c>
      <c r="E34" s="6">
        <v>95367</v>
      </c>
      <c r="F34" s="8">
        <v>42239</v>
      </c>
      <c r="H34" s="2" t="s">
        <v>180</v>
      </c>
      <c r="I34" s="6" t="s">
        <v>213</v>
      </c>
      <c r="J34" s="6" t="str">
        <f t="shared" si="0"/>
        <v>Male</v>
      </c>
      <c r="K34" s="5" t="str">
        <f t="shared" si="1"/>
        <v>Chris Lee</v>
      </c>
      <c r="L34" s="5" t="str" cm="1">
        <f t="array" ref="L34">IF(TRIM(C34)="",INDEX($C$2:$C$150,MATCH(MAX(COUNTIF($C$2:$C$150, $C$2:$C$150)), COUNTIF($C$2:$C$150, $C$2:$C$150), 0)),C34)</f>
        <v>Marketing</v>
      </c>
      <c r="M34" t="str" cm="1">
        <f t="array" ref="M34">IF(TRIM(D34)="",INDEX($D$2:$D$150,MATCH(MAX(COUNTIF($D$2:$D$150,$D$2:$D$150)),COUNTIF($D$2:$D$150,$D$2:$D$150),0)),D34)</f>
        <v>USA</v>
      </c>
      <c r="N34" s="9">
        <f t="shared" si="2"/>
        <v>95367</v>
      </c>
      <c r="O34" s="10">
        <f t="shared" si="3"/>
        <v>42239</v>
      </c>
      <c r="P34" s="9">
        <f t="shared" si="4"/>
        <v>2.879032258064516</v>
      </c>
      <c r="Q34" s="5" t="str">
        <f t="shared" si="5"/>
        <v>user136@example.com</v>
      </c>
    </row>
    <row r="35" spans="1:17" x14ac:dyDescent="0.35">
      <c r="A35" s="6" t="s">
        <v>43</v>
      </c>
      <c r="B35" s="6" t="s">
        <v>161</v>
      </c>
      <c r="C35" s="6" t="s">
        <v>168</v>
      </c>
      <c r="D35" s="6" t="s">
        <v>176</v>
      </c>
      <c r="E35" s="6">
        <v>79549</v>
      </c>
      <c r="F35" s="8">
        <v>42246</v>
      </c>
      <c r="G35" s="6">
        <v>3</v>
      </c>
      <c r="H35" s="2" t="s">
        <v>180</v>
      </c>
      <c r="I35" s="6" t="s">
        <v>214</v>
      </c>
      <c r="J35" s="6" t="str">
        <f t="shared" si="0"/>
        <v>Male</v>
      </c>
      <c r="K35" s="5" t="str">
        <f t="shared" si="1"/>
        <v>John Doe</v>
      </c>
      <c r="L35" s="5" t="str" cm="1">
        <f t="array" ref="L35">IF(TRIM(C35)="",INDEX($C$2:$C$150,MATCH(MAX(COUNTIF($C$2:$C$150, $C$2:$C$150)), COUNTIF($C$2:$C$150, $C$2:$C$150), 0)),C35)</f>
        <v>Sales</v>
      </c>
      <c r="M35" t="str" cm="1">
        <f t="array" ref="M35">IF(TRIM(D35)="",INDEX($D$2:$D$150,MATCH(MAX(COUNTIF($D$2:$D$150,$D$2:$D$150)),COUNTIF($D$2:$D$150,$D$2:$D$150),0)),D35)</f>
        <v>Australia</v>
      </c>
      <c r="N35" s="9">
        <f t="shared" si="2"/>
        <v>79549</v>
      </c>
      <c r="O35" s="10">
        <f t="shared" si="3"/>
        <v>42246</v>
      </c>
      <c r="P35" s="9">
        <f t="shared" si="4"/>
        <v>3</v>
      </c>
      <c r="Q35" s="5" t="str">
        <f t="shared" si="5"/>
        <v>user198@example.com</v>
      </c>
    </row>
    <row r="36" spans="1:17" x14ac:dyDescent="0.35">
      <c r="A36" s="6" t="s">
        <v>44</v>
      </c>
      <c r="B36" s="6" t="s">
        <v>160</v>
      </c>
      <c r="D36" s="6" t="s">
        <v>175</v>
      </c>
      <c r="E36" s="6">
        <v>54463</v>
      </c>
      <c r="F36" s="8">
        <v>42253</v>
      </c>
      <c r="G36" s="6">
        <v>4</v>
      </c>
      <c r="H36" s="2" t="s">
        <v>181</v>
      </c>
      <c r="I36" s="6" t="s">
        <v>182</v>
      </c>
      <c r="J36" s="6" t="str">
        <f t="shared" si="0"/>
        <v>Female</v>
      </c>
      <c r="K36" s="5" t="str">
        <f t="shared" si="1"/>
        <v>Alice Brown</v>
      </c>
      <c r="L36" s="5" t="str" cm="1">
        <f t="array" ref="L36">IF(TRIM(C36)="",INDEX($C$2:$C$150,MATCH(MAX(COUNTIF($C$2:$C$150, $C$2:$C$150)), COUNTIF($C$2:$C$150, $C$2:$C$150), 0)),C36)</f>
        <v>Marketing</v>
      </c>
      <c r="M36" t="str" cm="1">
        <f t="array" ref="M36">IF(TRIM(D36)="",INDEX($D$2:$D$150,MATCH(MAX(COUNTIF($D$2:$D$150,$D$2:$D$150)),COUNTIF($D$2:$D$150,$D$2:$D$150),0)),D36)</f>
        <v>UK</v>
      </c>
      <c r="N36" s="9">
        <f t="shared" si="2"/>
        <v>54463</v>
      </c>
      <c r="O36" s="10">
        <f t="shared" si="3"/>
        <v>42253</v>
      </c>
      <c r="P36" s="9">
        <f t="shared" si="4"/>
        <v>4</v>
      </c>
      <c r="Q36" s="5" t="str">
        <f t="shared" si="5"/>
        <v>Unknown</v>
      </c>
    </row>
    <row r="37" spans="1:17" x14ac:dyDescent="0.35">
      <c r="A37" s="6" t="s">
        <v>45</v>
      </c>
      <c r="B37" s="6" t="s">
        <v>160</v>
      </c>
      <c r="C37" s="6" t="s">
        <v>169</v>
      </c>
      <c r="D37" s="6" t="s">
        <v>173</v>
      </c>
      <c r="E37" s="6">
        <v>89781</v>
      </c>
      <c r="F37" s="8">
        <v>42260</v>
      </c>
      <c r="H37" s="2" t="s">
        <v>181</v>
      </c>
      <c r="I37" s="6" t="s">
        <v>215</v>
      </c>
      <c r="J37" s="6" t="str">
        <f t="shared" si="0"/>
        <v>Female</v>
      </c>
      <c r="K37" s="5" t="str">
        <f t="shared" si="1"/>
        <v>Alice Brown</v>
      </c>
      <c r="L37" s="5" t="str" cm="1">
        <f t="array" ref="L37">IF(TRIM(C37)="",INDEX($C$2:$C$150,MATCH(MAX(COUNTIF($C$2:$C$150, $C$2:$C$150)), COUNTIF($C$2:$C$150, $C$2:$C$150), 0)),C37)</f>
        <v>IT</v>
      </c>
      <c r="M37" t="str" cm="1">
        <f t="array" ref="M37">IF(TRIM(D37)="",INDEX($D$2:$D$150,MATCH(MAX(COUNTIF($D$2:$D$150,$D$2:$D$150)),COUNTIF($D$2:$D$150,$D$2:$D$150),0)),D37)</f>
        <v>USA</v>
      </c>
      <c r="N37" s="9">
        <f t="shared" si="2"/>
        <v>89781</v>
      </c>
      <c r="O37" s="10">
        <f t="shared" si="3"/>
        <v>42260</v>
      </c>
      <c r="P37" s="9">
        <f t="shared" si="4"/>
        <v>2.879032258064516</v>
      </c>
      <c r="Q37" s="5" t="str">
        <f t="shared" si="5"/>
        <v>user31@example.com</v>
      </c>
    </row>
    <row r="38" spans="1:17" x14ac:dyDescent="0.35">
      <c r="A38" s="6" t="s">
        <v>46</v>
      </c>
      <c r="B38" s="6" t="s">
        <v>160</v>
      </c>
      <c r="C38" s="6" t="s">
        <v>167</v>
      </c>
      <c r="E38" s="6">
        <v>64796</v>
      </c>
      <c r="F38" s="8">
        <v>42267</v>
      </c>
      <c r="H38" s="2" t="s">
        <v>181</v>
      </c>
      <c r="I38" s="6" t="s">
        <v>216</v>
      </c>
      <c r="J38" s="6" t="str">
        <f t="shared" si="0"/>
        <v>Female</v>
      </c>
      <c r="K38" s="5" t="str">
        <f t="shared" si="1"/>
        <v>Alice Brown</v>
      </c>
      <c r="L38" s="5" t="str" cm="1">
        <f t="array" ref="L38">IF(TRIM(C38)="",INDEX($C$2:$C$150,MATCH(MAX(COUNTIF($C$2:$C$150, $C$2:$C$150)), COUNTIF($C$2:$C$150, $C$2:$C$150), 0)),C38)</f>
        <v>HR</v>
      </c>
      <c r="M38" t="str" cm="1">
        <f t="array" ref="M38">IF(TRIM(D38)="",INDEX($D$2:$D$150,MATCH(MAX(COUNTIF($D$2:$D$150,$D$2:$D$150)),COUNTIF($D$2:$D$150,$D$2:$D$150),0)),D38)</f>
        <v>India</v>
      </c>
      <c r="N38" s="9">
        <f t="shared" si="2"/>
        <v>64796</v>
      </c>
      <c r="O38" s="10">
        <f t="shared" si="3"/>
        <v>42267</v>
      </c>
      <c r="P38" s="9">
        <f t="shared" si="4"/>
        <v>2.879032258064516</v>
      </c>
      <c r="Q38" s="5" t="str">
        <f t="shared" si="5"/>
        <v>user98@example.com</v>
      </c>
    </row>
    <row r="39" spans="1:17" x14ac:dyDescent="0.35">
      <c r="A39" s="6" t="s">
        <v>47</v>
      </c>
      <c r="B39" s="6" t="s">
        <v>161</v>
      </c>
      <c r="C39" s="6" t="s">
        <v>170</v>
      </c>
      <c r="D39" s="6" t="s">
        <v>175</v>
      </c>
      <c r="E39" s="6">
        <v>52093</v>
      </c>
      <c r="F39" s="8">
        <v>42274</v>
      </c>
      <c r="G39" s="6">
        <v>5</v>
      </c>
      <c r="H39" s="2" t="s">
        <v>180</v>
      </c>
      <c r="I39" s="6" t="s">
        <v>217</v>
      </c>
      <c r="J39" s="6" t="str">
        <f t="shared" si="0"/>
        <v>Male</v>
      </c>
      <c r="K39" s="5" t="str">
        <f t="shared" si="1"/>
        <v>John Doe</v>
      </c>
      <c r="L39" s="5" t="str" cm="1">
        <f t="array" ref="L39">IF(TRIM(C39)="",INDEX($C$2:$C$150,MATCH(MAX(COUNTIF($C$2:$C$150, $C$2:$C$150)), COUNTIF($C$2:$C$150, $C$2:$C$150), 0)),C39)</f>
        <v>Marketing</v>
      </c>
      <c r="M39" t="str" cm="1">
        <f t="array" ref="M39">IF(TRIM(D39)="",INDEX($D$2:$D$150,MATCH(MAX(COUNTIF($D$2:$D$150,$D$2:$D$150)),COUNTIF($D$2:$D$150,$D$2:$D$150),0)),D39)</f>
        <v>UK</v>
      </c>
      <c r="N39" s="9">
        <f t="shared" si="2"/>
        <v>52093</v>
      </c>
      <c r="O39" s="10">
        <f t="shared" si="3"/>
        <v>42274</v>
      </c>
      <c r="P39" s="9">
        <f t="shared" si="4"/>
        <v>5</v>
      </c>
      <c r="Q39" s="5" t="str">
        <f t="shared" si="5"/>
        <v>user154@example.com</v>
      </c>
    </row>
    <row r="40" spans="1:17" x14ac:dyDescent="0.35">
      <c r="A40" s="6" t="s">
        <v>48</v>
      </c>
      <c r="B40" s="6" t="s">
        <v>164</v>
      </c>
      <c r="C40" s="6" t="s">
        <v>167</v>
      </c>
      <c r="D40" s="6" t="s">
        <v>175</v>
      </c>
      <c r="E40" s="6">
        <v>48224</v>
      </c>
      <c r="F40" s="8">
        <v>42281</v>
      </c>
      <c r="G40" s="6">
        <v>3</v>
      </c>
      <c r="H40" s="2" t="s">
        <v>181</v>
      </c>
      <c r="I40" s="6" t="s">
        <v>218</v>
      </c>
      <c r="J40" s="6" t="str">
        <f t="shared" si="0"/>
        <v>Female</v>
      </c>
      <c r="K40" s="5" t="str">
        <f t="shared" si="1"/>
        <v>Chris Lee</v>
      </c>
      <c r="L40" s="5" t="str" cm="1">
        <f t="array" ref="L40">IF(TRIM(C40)="",INDEX($C$2:$C$150,MATCH(MAX(COUNTIF($C$2:$C$150, $C$2:$C$150)), COUNTIF($C$2:$C$150, $C$2:$C$150), 0)),C40)</f>
        <v>HR</v>
      </c>
      <c r="M40" t="str" cm="1">
        <f t="array" ref="M40">IF(TRIM(D40)="",INDEX($D$2:$D$150,MATCH(MAX(COUNTIF($D$2:$D$150,$D$2:$D$150)),COUNTIF($D$2:$D$150,$D$2:$D$150),0)),D40)</f>
        <v>UK</v>
      </c>
      <c r="N40" s="9">
        <f t="shared" si="2"/>
        <v>48224</v>
      </c>
      <c r="O40" s="10">
        <f t="shared" si="3"/>
        <v>42281</v>
      </c>
      <c r="P40" s="9">
        <f t="shared" si="4"/>
        <v>3</v>
      </c>
      <c r="Q40" s="5" t="str">
        <f t="shared" si="5"/>
        <v>user42@example.com</v>
      </c>
    </row>
    <row r="41" spans="1:17" x14ac:dyDescent="0.35">
      <c r="A41" s="6" t="s">
        <v>49</v>
      </c>
      <c r="B41" s="6" t="s">
        <v>165</v>
      </c>
      <c r="C41" s="6" t="s">
        <v>166</v>
      </c>
      <c r="D41" s="6" t="s">
        <v>175</v>
      </c>
      <c r="E41" s="6" t="s">
        <v>177</v>
      </c>
      <c r="F41" s="8"/>
      <c r="G41" s="6">
        <v>4</v>
      </c>
      <c r="H41" s="2" t="s">
        <v>180</v>
      </c>
      <c r="I41" s="6" t="s">
        <v>219</v>
      </c>
      <c r="J41" s="6" t="str">
        <f t="shared" si="0"/>
        <v>Male</v>
      </c>
      <c r="K41" s="5" t="str">
        <f t="shared" si="1"/>
        <v>Bob Johnson</v>
      </c>
      <c r="L41" s="5" t="str" cm="1">
        <f t="array" ref="L41">IF(TRIM(C41)="",INDEX($C$2:$C$150,MATCH(MAX(COUNTIF($C$2:$C$150, $C$2:$C$150)), COUNTIF($C$2:$C$150, $C$2:$C$150), 0)),C41)</f>
        <v>Finance</v>
      </c>
      <c r="M41" t="str" cm="1">
        <f t="array" ref="M41">IF(TRIM(D41)="",INDEX($D$2:$D$150,MATCH(MAX(COUNTIF($D$2:$D$150,$D$2:$D$150)),COUNTIF($D$2:$D$150,$D$2:$D$150),0)),D41)</f>
        <v>UK</v>
      </c>
      <c r="N41" s="9">
        <f t="shared" si="2"/>
        <v>66280.929577464791</v>
      </c>
      <c r="O41" s="10">
        <f t="shared" si="3"/>
        <v>42533</v>
      </c>
      <c r="P41" s="9">
        <f t="shared" si="4"/>
        <v>4</v>
      </c>
      <c r="Q41" s="5" t="str">
        <f t="shared" si="5"/>
        <v>user89@example.com</v>
      </c>
    </row>
    <row r="42" spans="1:17" x14ac:dyDescent="0.35">
      <c r="A42" s="6" t="s">
        <v>50</v>
      </c>
      <c r="B42" s="6" t="s">
        <v>160</v>
      </c>
      <c r="C42" s="6" t="s">
        <v>169</v>
      </c>
      <c r="D42" s="6" t="s">
        <v>172</v>
      </c>
      <c r="E42" s="6">
        <v>33956</v>
      </c>
      <c r="F42" s="8">
        <v>42295</v>
      </c>
      <c r="H42" s="2" t="s">
        <v>181</v>
      </c>
      <c r="I42" s="6" t="s">
        <v>220</v>
      </c>
      <c r="J42" s="6" t="str">
        <f t="shared" si="0"/>
        <v>Female</v>
      </c>
      <c r="K42" s="5" t="str">
        <f t="shared" si="1"/>
        <v>Alice Brown</v>
      </c>
      <c r="L42" s="5" t="str" cm="1">
        <f t="array" ref="L42">IF(TRIM(C42)="",INDEX($C$2:$C$150,MATCH(MAX(COUNTIF($C$2:$C$150, $C$2:$C$150)), COUNTIF($C$2:$C$150, $C$2:$C$150), 0)),C42)</f>
        <v>IT</v>
      </c>
      <c r="M42" t="str" cm="1">
        <f t="array" ref="M42">IF(TRIM(D42)="",INDEX($D$2:$D$150,MATCH(MAX(COUNTIF($D$2:$D$150,$D$2:$D$150)),COUNTIF($D$2:$D$150,$D$2:$D$150),0)),D42)</f>
        <v>Germany</v>
      </c>
      <c r="N42" s="9">
        <f t="shared" si="2"/>
        <v>33956</v>
      </c>
      <c r="O42" s="10">
        <f t="shared" si="3"/>
        <v>42295</v>
      </c>
      <c r="P42" s="9">
        <f t="shared" si="4"/>
        <v>2.879032258064516</v>
      </c>
      <c r="Q42" s="5" t="str">
        <f t="shared" si="5"/>
        <v>user47@example.com</v>
      </c>
    </row>
    <row r="43" spans="1:17" x14ac:dyDescent="0.35">
      <c r="A43" s="6" t="s">
        <v>51</v>
      </c>
      <c r="B43" s="6" t="s">
        <v>165</v>
      </c>
      <c r="D43" s="6" t="s">
        <v>176</v>
      </c>
      <c r="E43" s="6">
        <v>64913</v>
      </c>
      <c r="F43" s="8">
        <v>42302</v>
      </c>
      <c r="G43" s="6">
        <v>1</v>
      </c>
      <c r="H43" s="2" t="s">
        <v>180</v>
      </c>
      <c r="I43" s="6" t="s">
        <v>221</v>
      </c>
      <c r="J43" s="6" t="str">
        <f t="shared" si="0"/>
        <v>Male</v>
      </c>
      <c r="K43" s="5" t="str">
        <f t="shared" si="1"/>
        <v>Bob Johnson</v>
      </c>
      <c r="L43" s="5" t="str" cm="1">
        <f t="array" ref="L43">IF(TRIM(C43)="",INDEX($C$2:$C$150,MATCH(MAX(COUNTIF($C$2:$C$150, $C$2:$C$150)), COUNTIF($C$2:$C$150, $C$2:$C$150), 0)),C43)</f>
        <v>Marketing</v>
      </c>
      <c r="M43" t="str" cm="1">
        <f t="array" ref="M43">IF(TRIM(D43)="",INDEX($D$2:$D$150,MATCH(MAX(COUNTIF($D$2:$D$150,$D$2:$D$150)),COUNTIF($D$2:$D$150,$D$2:$D$150),0)),D43)</f>
        <v>Australia</v>
      </c>
      <c r="N43" s="9">
        <f t="shared" si="2"/>
        <v>64913</v>
      </c>
      <c r="O43" s="10">
        <f t="shared" si="3"/>
        <v>42302</v>
      </c>
      <c r="P43" s="9">
        <f t="shared" si="4"/>
        <v>1</v>
      </c>
      <c r="Q43" s="5" t="str">
        <f t="shared" si="5"/>
        <v>user175@example.com</v>
      </c>
    </row>
    <row r="44" spans="1:17" x14ac:dyDescent="0.35">
      <c r="A44" s="6" t="s">
        <v>52</v>
      </c>
      <c r="B44" s="6" t="s">
        <v>160</v>
      </c>
      <c r="C44" s="6" t="s">
        <v>170</v>
      </c>
      <c r="D44" s="6" t="s">
        <v>176</v>
      </c>
      <c r="E44" s="6">
        <v>35326</v>
      </c>
      <c r="F44" s="8">
        <v>42309</v>
      </c>
      <c r="H44" s="2" t="s">
        <v>181</v>
      </c>
      <c r="I44" s="6" t="s">
        <v>222</v>
      </c>
      <c r="J44" s="6" t="str">
        <f t="shared" si="0"/>
        <v>Female</v>
      </c>
      <c r="K44" s="5" t="str">
        <f t="shared" si="1"/>
        <v>Alice Brown</v>
      </c>
      <c r="L44" s="5" t="str" cm="1">
        <f t="array" ref="L44">IF(TRIM(C44)="",INDEX($C$2:$C$150,MATCH(MAX(COUNTIF($C$2:$C$150, $C$2:$C$150)), COUNTIF($C$2:$C$150, $C$2:$C$150), 0)),C44)</f>
        <v>Marketing</v>
      </c>
      <c r="M44" t="str" cm="1">
        <f t="array" ref="M44">IF(TRIM(D44)="",INDEX($D$2:$D$150,MATCH(MAX(COUNTIF($D$2:$D$150,$D$2:$D$150)),COUNTIF($D$2:$D$150,$D$2:$D$150),0)),D44)</f>
        <v>Australia</v>
      </c>
      <c r="N44" s="9">
        <f t="shared" si="2"/>
        <v>35326</v>
      </c>
      <c r="O44" s="10">
        <f t="shared" si="3"/>
        <v>42309</v>
      </c>
      <c r="P44" s="9">
        <f t="shared" si="4"/>
        <v>2.879032258064516</v>
      </c>
      <c r="Q44" s="5" t="str">
        <f t="shared" si="5"/>
        <v>user57@example.com</v>
      </c>
    </row>
    <row r="45" spans="1:17" x14ac:dyDescent="0.35">
      <c r="A45" s="6" t="s">
        <v>53</v>
      </c>
      <c r="B45" s="6" t="s">
        <v>164</v>
      </c>
      <c r="C45" s="6" t="s">
        <v>166</v>
      </c>
      <c r="E45" s="6">
        <v>81610</v>
      </c>
      <c r="F45" s="8">
        <v>42316</v>
      </c>
      <c r="G45" s="6">
        <v>1</v>
      </c>
      <c r="H45" s="2" t="s">
        <v>181</v>
      </c>
      <c r="I45" s="6" t="s">
        <v>223</v>
      </c>
      <c r="J45" s="6" t="str">
        <f t="shared" si="0"/>
        <v>Female</v>
      </c>
      <c r="K45" s="5" t="str">
        <f t="shared" si="1"/>
        <v>Chris Lee</v>
      </c>
      <c r="L45" s="5" t="str" cm="1">
        <f t="array" ref="L45">IF(TRIM(C45)="",INDEX($C$2:$C$150,MATCH(MAX(COUNTIF($C$2:$C$150, $C$2:$C$150)), COUNTIF($C$2:$C$150, $C$2:$C$150), 0)),C45)</f>
        <v>Finance</v>
      </c>
      <c r="M45" t="str" cm="1">
        <f t="array" ref="M45">IF(TRIM(D45)="",INDEX($D$2:$D$150,MATCH(MAX(COUNTIF($D$2:$D$150,$D$2:$D$150)),COUNTIF($D$2:$D$150,$D$2:$D$150),0)),D45)</f>
        <v>India</v>
      </c>
      <c r="N45" s="9">
        <f t="shared" si="2"/>
        <v>81610</v>
      </c>
      <c r="O45" s="10">
        <f t="shared" si="3"/>
        <v>42316</v>
      </c>
      <c r="P45" s="9">
        <f t="shared" si="4"/>
        <v>1</v>
      </c>
      <c r="Q45" s="5" t="str">
        <f t="shared" si="5"/>
        <v>user20@example.com</v>
      </c>
    </row>
    <row r="46" spans="1:17" x14ac:dyDescent="0.35">
      <c r="A46" s="6" t="s">
        <v>54</v>
      </c>
      <c r="B46" s="6" t="s">
        <v>281</v>
      </c>
      <c r="C46" s="6" t="s">
        <v>167</v>
      </c>
      <c r="E46" s="6">
        <v>58962</v>
      </c>
      <c r="F46" s="8">
        <v>42323</v>
      </c>
      <c r="G46" s="6">
        <v>3</v>
      </c>
      <c r="H46" s="2" t="s">
        <v>178</v>
      </c>
      <c r="I46" s="6" t="s">
        <v>183</v>
      </c>
      <c r="J46" s="6" t="str">
        <f t="shared" si="0"/>
        <v>Unknown</v>
      </c>
      <c r="K46" s="5" t="str">
        <f t="shared" si="1"/>
        <v>Unknown</v>
      </c>
      <c r="L46" s="5" t="str" cm="1">
        <f t="array" ref="L46">IF(TRIM(C46)="",INDEX($C$2:$C$150,MATCH(MAX(COUNTIF($C$2:$C$150, $C$2:$C$150)), COUNTIF($C$2:$C$150, $C$2:$C$150), 0)),C46)</f>
        <v>HR</v>
      </c>
      <c r="M46" t="str" cm="1">
        <f t="array" ref="M46">IF(TRIM(D46)="",INDEX($D$2:$D$150,MATCH(MAX(COUNTIF($D$2:$D$150,$D$2:$D$150)),COUNTIF($D$2:$D$150,$D$2:$D$150),0)),D46)</f>
        <v>India</v>
      </c>
      <c r="N46" s="9">
        <f t="shared" si="2"/>
        <v>58962</v>
      </c>
      <c r="O46" s="10">
        <f t="shared" si="3"/>
        <v>42323</v>
      </c>
      <c r="P46" s="9">
        <f t="shared" si="4"/>
        <v>3</v>
      </c>
      <c r="Q46" s="5" t="str">
        <f t="shared" si="5"/>
        <v>user106@example.com</v>
      </c>
    </row>
    <row r="47" spans="1:17" x14ac:dyDescent="0.35">
      <c r="A47" s="6" t="s">
        <v>55</v>
      </c>
      <c r="B47" s="6" t="s">
        <v>164</v>
      </c>
      <c r="C47" s="6" t="s">
        <v>169</v>
      </c>
      <c r="D47" s="6" t="s">
        <v>172</v>
      </c>
      <c r="E47" s="6">
        <v>92701</v>
      </c>
      <c r="F47" s="8">
        <v>42330</v>
      </c>
      <c r="G47" s="6">
        <v>3</v>
      </c>
      <c r="H47" s="2" t="s">
        <v>181</v>
      </c>
      <c r="I47" s="6" t="s">
        <v>224</v>
      </c>
      <c r="J47" s="6" t="str">
        <f t="shared" si="0"/>
        <v>Female</v>
      </c>
      <c r="K47" s="5" t="str">
        <f t="shared" si="1"/>
        <v>Chris Lee</v>
      </c>
      <c r="L47" s="5" t="str" cm="1">
        <f t="array" ref="L47">IF(TRIM(C47)="",INDEX($C$2:$C$150,MATCH(MAX(COUNTIF($C$2:$C$150, $C$2:$C$150)), COUNTIF($C$2:$C$150, $C$2:$C$150), 0)),C47)</f>
        <v>IT</v>
      </c>
      <c r="M47" t="str" cm="1">
        <f t="array" ref="M47">IF(TRIM(D47)="",INDEX($D$2:$D$150,MATCH(MAX(COUNTIF($D$2:$D$150,$D$2:$D$150)),COUNTIF($D$2:$D$150,$D$2:$D$150),0)),D47)</f>
        <v>Germany</v>
      </c>
      <c r="N47" s="9">
        <f t="shared" si="2"/>
        <v>92701</v>
      </c>
      <c r="O47" s="10">
        <f t="shared" si="3"/>
        <v>42330</v>
      </c>
      <c r="P47" s="9">
        <f t="shared" si="4"/>
        <v>3</v>
      </c>
      <c r="Q47" s="5" t="str">
        <f t="shared" si="5"/>
        <v>user199@example.com</v>
      </c>
    </row>
    <row r="48" spans="1:17" x14ac:dyDescent="0.35">
      <c r="A48" s="6" t="s">
        <v>56</v>
      </c>
      <c r="B48" s="6" t="s">
        <v>164</v>
      </c>
      <c r="C48" s="6" t="s">
        <v>167</v>
      </c>
      <c r="D48" s="6" t="s">
        <v>174</v>
      </c>
      <c r="E48" s="6">
        <v>58245</v>
      </c>
      <c r="F48" s="8">
        <v>42337</v>
      </c>
      <c r="G48" s="6">
        <v>4</v>
      </c>
      <c r="H48" s="2" t="s">
        <v>181</v>
      </c>
      <c r="I48" s="6" t="s">
        <v>225</v>
      </c>
      <c r="J48" s="6" t="str">
        <f t="shared" si="0"/>
        <v>Female</v>
      </c>
      <c r="K48" s="5" t="str">
        <f t="shared" si="1"/>
        <v>Chris Lee</v>
      </c>
      <c r="L48" s="5" t="str" cm="1">
        <f t="array" ref="L48">IF(TRIM(C48)="",INDEX($C$2:$C$150,MATCH(MAX(COUNTIF($C$2:$C$150, $C$2:$C$150)), COUNTIF($C$2:$C$150, $C$2:$C$150), 0)),C48)</f>
        <v>HR</v>
      </c>
      <c r="M48" t="str" cm="1">
        <f t="array" ref="M48">IF(TRIM(D48)="",INDEX($D$2:$D$150,MATCH(MAX(COUNTIF($D$2:$D$150,$D$2:$D$150)),COUNTIF($D$2:$D$150,$D$2:$D$150),0)),D48)</f>
        <v>India</v>
      </c>
      <c r="N48" s="9">
        <f t="shared" si="2"/>
        <v>58245</v>
      </c>
      <c r="O48" s="10">
        <f t="shared" si="3"/>
        <v>42337</v>
      </c>
      <c r="P48" s="9">
        <f t="shared" si="4"/>
        <v>4</v>
      </c>
      <c r="Q48" s="5" t="str">
        <f t="shared" si="5"/>
        <v>user43@example.com</v>
      </c>
    </row>
    <row r="49" spans="1:17" x14ac:dyDescent="0.35">
      <c r="A49" s="6" t="s">
        <v>57</v>
      </c>
      <c r="B49" s="6" t="s">
        <v>161</v>
      </c>
      <c r="C49" s="6" t="s">
        <v>166</v>
      </c>
      <c r="E49" s="6">
        <v>66513</v>
      </c>
      <c r="F49" s="8">
        <v>42344</v>
      </c>
      <c r="G49" s="6">
        <v>2</v>
      </c>
      <c r="H49" s="2" t="s">
        <v>180</v>
      </c>
      <c r="I49" s="6" t="s">
        <v>187</v>
      </c>
      <c r="J49" s="6" t="str">
        <f t="shared" si="0"/>
        <v>Male</v>
      </c>
      <c r="K49" s="5" t="str">
        <f t="shared" si="1"/>
        <v>John Doe</v>
      </c>
      <c r="L49" s="5" t="str" cm="1">
        <f t="array" ref="L49">IF(TRIM(C49)="",INDEX($C$2:$C$150,MATCH(MAX(COUNTIF($C$2:$C$150, $C$2:$C$150)), COUNTIF($C$2:$C$150, $C$2:$C$150), 0)),C49)</f>
        <v>Finance</v>
      </c>
      <c r="M49" t="str" cm="1">
        <f t="array" ref="M49">IF(TRIM(D49)="",INDEX($D$2:$D$150,MATCH(MAX(COUNTIF($D$2:$D$150,$D$2:$D$150)),COUNTIF($D$2:$D$150,$D$2:$D$150),0)),D49)</f>
        <v>India</v>
      </c>
      <c r="N49" s="9">
        <f t="shared" si="2"/>
        <v>66513</v>
      </c>
      <c r="O49" s="10">
        <f t="shared" si="3"/>
        <v>42344</v>
      </c>
      <c r="P49" s="9">
        <f t="shared" si="4"/>
        <v>2</v>
      </c>
      <c r="Q49" s="5" t="str">
        <f t="shared" si="5"/>
        <v>user24@example.com</v>
      </c>
    </row>
    <row r="50" spans="1:17" x14ac:dyDescent="0.35">
      <c r="A50" s="6" t="s">
        <v>58</v>
      </c>
      <c r="B50" s="6" t="s">
        <v>159</v>
      </c>
      <c r="C50" s="6" t="s">
        <v>167</v>
      </c>
      <c r="D50" s="6" t="s">
        <v>172</v>
      </c>
      <c r="E50" s="6">
        <v>78720</v>
      </c>
      <c r="F50" s="8">
        <v>42351</v>
      </c>
      <c r="G50" s="6">
        <v>5</v>
      </c>
      <c r="H50" s="2" t="s">
        <v>181</v>
      </c>
      <c r="I50" s="6" t="s">
        <v>219</v>
      </c>
      <c r="J50" s="6" t="str">
        <f t="shared" si="0"/>
        <v>Female</v>
      </c>
      <c r="K50" s="5" t="str">
        <f t="shared" si="1"/>
        <v>Eve Adams</v>
      </c>
      <c r="L50" s="5" t="str" cm="1">
        <f t="array" ref="L50">IF(TRIM(C50)="",INDEX($C$2:$C$150,MATCH(MAX(COUNTIF($C$2:$C$150, $C$2:$C$150)), COUNTIF($C$2:$C$150, $C$2:$C$150), 0)),C50)</f>
        <v>HR</v>
      </c>
      <c r="M50" t="str" cm="1">
        <f t="array" ref="M50">IF(TRIM(D50)="",INDEX($D$2:$D$150,MATCH(MAX(COUNTIF($D$2:$D$150,$D$2:$D$150)),COUNTIF($D$2:$D$150,$D$2:$D$150),0)),D50)</f>
        <v>Germany</v>
      </c>
      <c r="N50" s="9">
        <f t="shared" si="2"/>
        <v>78720</v>
      </c>
      <c r="O50" s="10">
        <f t="shared" si="3"/>
        <v>42351</v>
      </c>
      <c r="P50" s="9">
        <f t="shared" si="4"/>
        <v>5</v>
      </c>
      <c r="Q50" s="5" t="str">
        <f t="shared" si="5"/>
        <v>user89@example.com</v>
      </c>
    </row>
    <row r="51" spans="1:17" x14ac:dyDescent="0.35">
      <c r="A51" s="6" t="s">
        <v>59</v>
      </c>
      <c r="B51" s="6" t="s">
        <v>164</v>
      </c>
      <c r="D51" s="6" t="s">
        <v>171</v>
      </c>
      <c r="E51" s="6">
        <v>30686</v>
      </c>
      <c r="F51" s="8"/>
      <c r="G51" s="6">
        <v>2</v>
      </c>
      <c r="H51" s="2" t="s">
        <v>181</v>
      </c>
      <c r="I51" s="6" t="s">
        <v>226</v>
      </c>
      <c r="J51" s="6" t="str">
        <f t="shared" si="0"/>
        <v>Female</v>
      </c>
      <c r="K51" s="5" t="str">
        <f t="shared" si="1"/>
        <v>Chris Lee</v>
      </c>
      <c r="L51" s="5" t="str" cm="1">
        <f t="array" ref="L51">IF(TRIM(C51)="",INDEX($C$2:$C$150,MATCH(MAX(COUNTIF($C$2:$C$150, $C$2:$C$150)), COUNTIF($C$2:$C$150, $C$2:$C$150), 0)),C51)</f>
        <v>Marketing</v>
      </c>
      <c r="M51" t="str" cm="1">
        <f t="array" ref="M51">IF(TRIM(D51)="",INDEX($D$2:$D$150,MATCH(MAX(COUNTIF($D$2:$D$150,$D$2:$D$150)),COUNTIF($D$2:$D$150,$D$2:$D$150),0)),D51)</f>
        <v>India</v>
      </c>
      <c r="N51" s="9">
        <f t="shared" si="2"/>
        <v>30686</v>
      </c>
      <c r="O51" s="10">
        <f t="shared" si="3"/>
        <v>42533</v>
      </c>
      <c r="P51" s="9">
        <f t="shared" si="4"/>
        <v>2</v>
      </c>
      <c r="Q51" s="5" t="str">
        <f t="shared" si="5"/>
        <v>user95@example.com</v>
      </c>
    </row>
    <row r="52" spans="1:17" x14ac:dyDescent="0.35">
      <c r="A52" s="6" t="s">
        <v>60</v>
      </c>
      <c r="B52" s="6" t="s">
        <v>163</v>
      </c>
      <c r="C52" s="6" t="s">
        <v>168</v>
      </c>
      <c r="D52" s="6" t="s">
        <v>174</v>
      </c>
      <c r="E52" s="6">
        <v>39423</v>
      </c>
      <c r="F52" s="8">
        <v>42365</v>
      </c>
      <c r="G52" s="6">
        <v>5</v>
      </c>
      <c r="H52" s="2" t="s">
        <v>180</v>
      </c>
      <c r="I52" s="6" t="s">
        <v>227</v>
      </c>
      <c r="J52" s="6" t="str">
        <f t="shared" si="0"/>
        <v>Male</v>
      </c>
      <c r="K52" s="5" t="str">
        <f t="shared" si="1"/>
        <v>Sam Wilson</v>
      </c>
      <c r="L52" s="5" t="str" cm="1">
        <f t="array" ref="L52">IF(TRIM(C52)="",INDEX($C$2:$C$150,MATCH(MAX(COUNTIF($C$2:$C$150, $C$2:$C$150)), COUNTIF($C$2:$C$150, $C$2:$C$150), 0)),C52)</f>
        <v>Sales</v>
      </c>
      <c r="M52" t="str" cm="1">
        <f t="array" ref="M52">IF(TRIM(D52)="",INDEX($D$2:$D$150,MATCH(MAX(COUNTIF($D$2:$D$150,$D$2:$D$150)),COUNTIF($D$2:$D$150,$D$2:$D$150),0)),D52)</f>
        <v>India</v>
      </c>
      <c r="N52" s="9">
        <f t="shared" si="2"/>
        <v>39423</v>
      </c>
      <c r="O52" s="10">
        <f t="shared" si="3"/>
        <v>42365</v>
      </c>
      <c r="P52" s="9">
        <f t="shared" si="4"/>
        <v>5</v>
      </c>
      <c r="Q52" s="5" t="str">
        <f t="shared" si="5"/>
        <v>user59@example.com</v>
      </c>
    </row>
    <row r="53" spans="1:17" x14ac:dyDescent="0.35">
      <c r="A53" s="6" t="s">
        <v>61</v>
      </c>
      <c r="B53" s="6" t="s">
        <v>159</v>
      </c>
      <c r="C53" s="6" t="s">
        <v>170</v>
      </c>
      <c r="E53" s="6">
        <v>30280</v>
      </c>
      <c r="F53" s="8">
        <v>42372</v>
      </c>
      <c r="G53" s="6">
        <v>1</v>
      </c>
      <c r="H53" s="2" t="s">
        <v>181</v>
      </c>
      <c r="I53" s="6" t="s">
        <v>228</v>
      </c>
      <c r="J53" s="6" t="str">
        <f t="shared" si="0"/>
        <v>Female</v>
      </c>
      <c r="K53" s="5" t="str">
        <f t="shared" si="1"/>
        <v>Eve Adams</v>
      </c>
      <c r="L53" s="5" t="str" cm="1">
        <f t="array" ref="L53">IF(TRIM(C53)="",INDEX($C$2:$C$150,MATCH(MAX(COUNTIF($C$2:$C$150, $C$2:$C$150)), COUNTIF($C$2:$C$150, $C$2:$C$150), 0)),C53)</f>
        <v>Marketing</v>
      </c>
      <c r="M53" t="str" cm="1">
        <f t="array" ref="M53">IF(TRIM(D53)="",INDEX($D$2:$D$150,MATCH(MAX(COUNTIF($D$2:$D$150,$D$2:$D$150)),COUNTIF($D$2:$D$150,$D$2:$D$150),0)),D53)</f>
        <v>India</v>
      </c>
      <c r="N53" s="9">
        <f t="shared" si="2"/>
        <v>30280</v>
      </c>
      <c r="O53" s="10">
        <f t="shared" si="3"/>
        <v>42372</v>
      </c>
      <c r="P53" s="9">
        <f t="shared" si="4"/>
        <v>1</v>
      </c>
      <c r="Q53" s="5" t="str">
        <f t="shared" si="5"/>
        <v>user152@example.com</v>
      </c>
    </row>
    <row r="54" spans="1:17" x14ac:dyDescent="0.35">
      <c r="A54" s="6" t="s">
        <v>62</v>
      </c>
      <c r="B54" s="6" t="s">
        <v>159</v>
      </c>
      <c r="C54" s="6" t="s">
        <v>166</v>
      </c>
      <c r="D54" s="6" t="s">
        <v>175</v>
      </c>
      <c r="E54" s="6">
        <v>33352</v>
      </c>
      <c r="F54" s="8">
        <v>42379</v>
      </c>
      <c r="G54" s="6">
        <v>3</v>
      </c>
      <c r="H54" s="2" t="s">
        <v>181</v>
      </c>
      <c r="I54" s="6" t="s">
        <v>200</v>
      </c>
      <c r="J54" s="6" t="str">
        <f t="shared" si="0"/>
        <v>Female</v>
      </c>
      <c r="K54" s="5" t="str">
        <f t="shared" si="1"/>
        <v>Eve Adams</v>
      </c>
      <c r="L54" s="5" t="str" cm="1">
        <f t="array" ref="L54">IF(TRIM(C54)="",INDEX($C$2:$C$150,MATCH(MAX(COUNTIF($C$2:$C$150, $C$2:$C$150)), COUNTIF($C$2:$C$150, $C$2:$C$150), 0)),C54)</f>
        <v>Finance</v>
      </c>
      <c r="M54" t="str" cm="1">
        <f t="array" ref="M54">IF(TRIM(D54)="",INDEX($D$2:$D$150,MATCH(MAX(COUNTIF($D$2:$D$150,$D$2:$D$150)),COUNTIF($D$2:$D$150,$D$2:$D$150),0)),D54)</f>
        <v>UK</v>
      </c>
      <c r="N54" s="9">
        <f t="shared" si="2"/>
        <v>33352</v>
      </c>
      <c r="O54" s="10">
        <f t="shared" si="3"/>
        <v>42379</v>
      </c>
      <c r="P54" s="9">
        <f t="shared" si="4"/>
        <v>3</v>
      </c>
      <c r="Q54" s="5" t="str">
        <f t="shared" si="5"/>
        <v>user200@example.com</v>
      </c>
    </row>
    <row r="55" spans="1:17" x14ac:dyDescent="0.35">
      <c r="A55" s="6" t="s">
        <v>63</v>
      </c>
      <c r="B55" s="6" t="s">
        <v>165</v>
      </c>
      <c r="C55" s="6" t="s">
        <v>170</v>
      </c>
      <c r="D55" s="6" t="s">
        <v>175</v>
      </c>
      <c r="E55" s="6">
        <v>75633</v>
      </c>
      <c r="F55" s="8">
        <v>42386</v>
      </c>
      <c r="G55" s="6">
        <v>5</v>
      </c>
      <c r="H55" s="2" t="s">
        <v>180</v>
      </c>
      <c r="I55" s="6" t="s">
        <v>229</v>
      </c>
      <c r="J55" s="6" t="str">
        <f t="shared" si="0"/>
        <v>Male</v>
      </c>
      <c r="K55" s="5" t="str">
        <f t="shared" si="1"/>
        <v>Bob Johnson</v>
      </c>
      <c r="L55" s="5" t="str" cm="1">
        <f t="array" ref="L55">IF(TRIM(C55)="",INDEX($C$2:$C$150,MATCH(MAX(COUNTIF($C$2:$C$150, $C$2:$C$150)), COUNTIF($C$2:$C$150, $C$2:$C$150), 0)),C55)</f>
        <v>Marketing</v>
      </c>
      <c r="M55" t="str" cm="1">
        <f t="array" ref="M55">IF(TRIM(D55)="",INDEX($D$2:$D$150,MATCH(MAX(COUNTIF($D$2:$D$150,$D$2:$D$150)),COUNTIF($D$2:$D$150,$D$2:$D$150),0)),D55)</f>
        <v>UK</v>
      </c>
      <c r="N55" s="9">
        <f t="shared" si="2"/>
        <v>75633</v>
      </c>
      <c r="O55" s="10">
        <f t="shared" si="3"/>
        <v>42386</v>
      </c>
      <c r="P55" s="9">
        <f t="shared" si="4"/>
        <v>5</v>
      </c>
      <c r="Q55" s="5" t="str">
        <f t="shared" si="5"/>
        <v>user92@example.com</v>
      </c>
    </row>
    <row r="56" spans="1:17" x14ac:dyDescent="0.35">
      <c r="A56" s="6" t="s">
        <v>64</v>
      </c>
      <c r="B56" s="6" t="s">
        <v>164</v>
      </c>
      <c r="D56" s="6" t="s">
        <v>173</v>
      </c>
      <c r="E56" s="6">
        <v>74815</v>
      </c>
      <c r="F56" s="8">
        <v>42393</v>
      </c>
      <c r="G56" s="6">
        <v>5</v>
      </c>
      <c r="H56" s="2" t="s">
        <v>181</v>
      </c>
      <c r="I56" s="6" t="s">
        <v>230</v>
      </c>
      <c r="J56" s="6" t="str">
        <f t="shared" si="0"/>
        <v>Female</v>
      </c>
      <c r="K56" s="5" t="str">
        <f t="shared" si="1"/>
        <v>Chris Lee</v>
      </c>
      <c r="L56" s="5" t="str" cm="1">
        <f t="array" ref="L56">IF(TRIM(C56)="",INDEX($C$2:$C$150,MATCH(MAX(COUNTIF($C$2:$C$150, $C$2:$C$150)), COUNTIF($C$2:$C$150, $C$2:$C$150), 0)),C56)</f>
        <v>Marketing</v>
      </c>
      <c r="M56" t="str" cm="1">
        <f t="array" ref="M56">IF(TRIM(D56)="",INDEX($D$2:$D$150,MATCH(MAX(COUNTIF($D$2:$D$150,$D$2:$D$150)),COUNTIF($D$2:$D$150,$D$2:$D$150),0)),D56)</f>
        <v>USA</v>
      </c>
      <c r="N56" s="9">
        <f t="shared" si="2"/>
        <v>74815</v>
      </c>
      <c r="O56" s="10">
        <f t="shared" si="3"/>
        <v>42393</v>
      </c>
      <c r="P56" s="9">
        <f t="shared" si="4"/>
        <v>5</v>
      </c>
      <c r="Q56" s="5" t="str">
        <f t="shared" si="5"/>
        <v>user50@example.com</v>
      </c>
    </row>
    <row r="57" spans="1:17" x14ac:dyDescent="0.35">
      <c r="A57" s="6" t="s">
        <v>65</v>
      </c>
      <c r="B57" s="6" t="s">
        <v>161</v>
      </c>
      <c r="C57" s="6" t="s">
        <v>168</v>
      </c>
      <c r="D57" s="6" t="s">
        <v>176</v>
      </c>
      <c r="E57" s="6">
        <v>60011</v>
      </c>
      <c r="F57" s="8">
        <v>42400</v>
      </c>
      <c r="G57" s="6">
        <v>1</v>
      </c>
      <c r="H57" s="2" t="s">
        <v>180</v>
      </c>
      <c r="I57" s="6" t="s">
        <v>231</v>
      </c>
      <c r="J57" s="6" t="str">
        <f t="shared" si="0"/>
        <v>Male</v>
      </c>
      <c r="K57" s="5" t="str">
        <f t="shared" si="1"/>
        <v>John Doe</v>
      </c>
      <c r="L57" s="5" t="str" cm="1">
        <f t="array" ref="L57">IF(TRIM(C57)="",INDEX($C$2:$C$150,MATCH(MAX(COUNTIF($C$2:$C$150, $C$2:$C$150)), COUNTIF($C$2:$C$150, $C$2:$C$150), 0)),C57)</f>
        <v>Sales</v>
      </c>
      <c r="M57" t="str" cm="1">
        <f t="array" ref="M57">IF(TRIM(D57)="",INDEX($D$2:$D$150,MATCH(MAX(COUNTIF($D$2:$D$150,$D$2:$D$150)),COUNTIF($D$2:$D$150,$D$2:$D$150),0)),D57)</f>
        <v>Australia</v>
      </c>
      <c r="N57" s="9">
        <f t="shared" si="2"/>
        <v>60011</v>
      </c>
      <c r="O57" s="10">
        <f t="shared" si="3"/>
        <v>42400</v>
      </c>
      <c r="P57" s="9">
        <f t="shared" si="4"/>
        <v>1</v>
      </c>
      <c r="Q57" s="5" t="str">
        <f t="shared" si="5"/>
        <v>user63@example.com</v>
      </c>
    </row>
    <row r="58" spans="1:17" x14ac:dyDescent="0.35">
      <c r="A58" s="6" t="s">
        <v>66</v>
      </c>
      <c r="B58" s="6" t="s">
        <v>159</v>
      </c>
      <c r="D58" s="6" t="s">
        <v>174</v>
      </c>
      <c r="E58" s="6">
        <v>96949</v>
      </c>
      <c r="F58" s="8">
        <v>42407</v>
      </c>
      <c r="G58" s="6">
        <v>3</v>
      </c>
      <c r="H58" s="2" t="s">
        <v>181</v>
      </c>
      <c r="I58" s="6" t="s">
        <v>207</v>
      </c>
      <c r="J58" s="6" t="str">
        <f t="shared" si="0"/>
        <v>Female</v>
      </c>
      <c r="K58" s="5" t="str">
        <f t="shared" si="1"/>
        <v>Eve Adams</v>
      </c>
      <c r="L58" s="5" t="str" cm="1">
        <f t="array" ref="L58">IF(TRIM(C58)="",INDEX($C$2:$C$150,MATCH(MAX(COUNTIF($C$2:$C$150, $C$2:$C$150)), COUNTIF($C$2:$C$150, $C$2:$C$150), 0)),C58)</f>
        <v>Marketing</v>
      </c>
      <c r="M58" t="str" cm="1">
        <f t="array" ref="M58">IF(TRIM(D58)="",INDEX($D$2:$D$150,MATCH(MAX(COUNTIF($D$2:$D$150,$D$2:$D$150)),COUNTIF($D$2:$D$150,$D$2:$D$150),0)),D58)</f>
        <v>India</v>
      </c>
      <c r="N58" s="9">
        <f t="shared" si="2"/>
        <v>96949</v>
      </c>
      <c r="O58" s="10">
        <f t="shared" si="3"/>
        <v>42407</v>
      </c>
      <c r="P58" s="9">
        <f t="shared" si="4"/>
        <v>3</v>
      </c>
      <c r="Q58" s="5" t="str">
        <f t="shared" si="5"/>
        <v>user103@example.com</v>
      </c>
    </row>
    <row r="59" spans="1:17" x14ac:dyDescent="0.35">
      <c r="A59" s="6" t="s">
        <v>67</v>
      </c>
      <c r="B59" s="6" t="s">
        <v>163</v>
      </c>
      <c r="C59" s="6" t="s">
        <v>170</v>
      </c>
      <c r="E59" s="6">
        <v>84924</v>
      </c>
      <c r="F59" s="8">
        <v>42414</v>
      </c>
      <c r="G59" s="6">
        <v>5</v>
      </c>
      <c r="H59" s="2" t="s">
        <v>180</v>
      </c>
      <c r="I59" s="6" t="s">
        <v>232</v>
      </c>
      <c r="J59" s="6" t="str">
        <f t="shared" si="0"/>
        <v>Male</v>
      </c>
      <c r="K59" s="5" t="str">
        <f t="shared" si="1"/>
        <v>Sam Wilson</v>
      </c>
      <c r="L59" s="5" t="str" cm="1">
        <f t="array" ref="L59">IF(TRIM(C59)="",INDEX($C$2:$C$150,MATCH(MAX(COUNTIF($C$2:$C$150, $C$2:$C$150)), COUNTIF($C$2:$C$150, $C$2:$C$150), 0)),C59)</f>
        <v>Marketing</v>
      </c>
      <c r="M59" t="str" cm="1">
        <f t="array" ref="M59">IF(TRIM(D59)="",INDEX($D$2:$D$150,MATCH(MAX(COUNTIF($D$2:$D$150,$D$2:$D$150)),COUNTIF($D$2:$D$150,$D$2:$D$150),0)),D59)</f>
        <v>India</v>
      </c>
      <c r="N59" s="9">
        <f t="shared" si="2"/>
        <v>84924</v>
      </c>
      <c r="O59" s="10">
        <f t="shared" si="3"/>
        <v>42414</v>
      </c>
      <c r="P59" s="9">
        <f t="shared" si="4"/>
        <v>5</v>
      </c>
      <c r="Q59" s="5" t="str">
        <f t="shared" si="5"/>
        <v>user150@example.com</v>
      </c>
    </row>
    <row r="60" spans="1:17" x14ac:dyDescent="0.35">
      <c r="A60" s="6" t="s">
        <v>68</v>
      </c>
      <c r="B60" s="6" t="s">
        <v>163</v>
      </c>
      <c r="C60" s="6" t="s">
        <v>166</v>
      </c>
      <c r="D60" s="6" t="s">
        <v>173</v>
      </c>
      <c r="E60" s="6">
        <v>82033</v>
      </c>
      <c r="F60" s="8">
        <v>42421</v>
      </c>
      <c r="G60" s="6">
        <v>1</v>
      </c>
      <c r="H60" s="2" t="s">
        <v>180</v>
      </c>
      <c r="I60" s="6" t="s">
        <v>223</v>
      </c>
      <c r="J60" s="6" t="str">
        <f t="shared" si="0"/>
        <v>Male</v>
      </c>
      <c r="K60" s="5" t="str">
        <f t="shared" si="1"/>
        <v>Sam Wilson</v>
      </c>
      <c r="L60" s="5" t="str" cm="1">
        <f t="array" ref="L60">IF(TRIM(C60)="",INDEX($C$2:$C$150,MATCH(MAX(COUNTIF($C$2:$C$150, $C$2:$C$150)), COUNTIF($C$2:$C$150, $C$2:$C$150), 0)),C60)</f>
        <v>Finance</v>
      </c>
      <c r="M60" t="str" cm="1">
        <f t="array" ref="M60">IF(TRIM(D60)="",INDEX($D$2:$D$150,MATCH(MAX(COUNTIF($D$2:$D$150,$D$2:$D$150)),COUNTIF($D$2:$D$150,$D$2:$D$150),0)),D60)</f>
        <v>USA</v>
      </c>
      <c r="N60" s="9">
        <f t="shared" si="2"/>
        <v>82033</v>
      </c>
      <c r="O60" s="10">
        <f t="shared" si="3"/>
        <v>42421</v>
      </c>
      <c r="P60" s="9">
        <f t="shared" si="4"/>
        <v>1</v>
      </c>
      <c r="Q60" s="5" t="str">
        <f t="shared" si="5"/>
        <v>user20@example.com</v>
      </c>
    </row>
    <row r="61" spans="1:17" x14ac:dyDescent="0.35">
      <c r="A61" s="6" t="s">
        <v>69</v>
      </c>
      <c r="B61" s="6" t="s">
        <v>281</v>
      </c>
      <c r="C61" s="6" t="s">
        <v>170</v>
      </c>
      <c r="D61" s="6" t="s">
        <v>172</v>
      </c>
      <c r="E61" s="6" t="s">
        <v>177</v>
      </c>
      <c r="F61" s="8"/>
      <c r="G61" s="6">
        <v>5</v>
      </c>
      <c r="H61" s="2" t="s">
        <v>178</v>
      </c>
      <c r="I61" s="6" t="s">
        <v>233</v>
      </c>
      <c r="J61" s="6" t="str">
        <f t="shared" si="0"/>
        <v>Unknown</v>
      </c>
      <c r="K61" s="5" t="str">
        <f t="shared" si="1"/>
        <v>Unknown</v>
      </c>
      <c r="L61" s="5" t="str" cm="1">
        <f t="array" ref="L61">IF(TRIM(C61)="",INDEX($C$2:$C$150,MATCH(MAX(COUNTIF($C$2:$C$150, $C$2:$C$150)), COUNTIF($C$2:$C$150, $C$2:$C$150), 0)),C61)</f>
        <v>Marketing</v>
      </c>
      <c r="M61" t="str" cm="1">
        <f t="array" ref="M61">IF(TRIM(D61)="",INDEX($D$2:$D$150,MATCH(MAX(COUNTIF($D$2:$D$150,$D$2:$D$150)),COUNTIF($D$2:$D$150,$D$2:$D$150),0)),D61)</f>
        <v>Germany</v>
      </c>
      <c r="N61" s="9">
        <f t="shared" si="2"/>
        <v>66280.929577464791</v>
      </c>
      <c r="O61" s="10">
        <f t="shared" si="3"/>
        <v>42533</v>
      </c>
      <c r="P61" s="9">
        <f t="shared" si="4"/>
        <v>5</v>
      </c>
      <c r="Q61" s="5" t="str">
        <f t="shared" si="5"/>
        <v>user112@example.com</v>
      </c>
    </row>
    <row r="62" spans="1:17" x14ac:dyDescent="0.35">
      <c r="A62" s="6" t="s">
        <v>70</v>
      </c>
      <c r="B62" s="6" t="s">
        <v>159</v>
      </c>
      <c r="D62" s="6" t="s">
        <v>176</v>
      </c>
      <c r="E62" s="6">
        <v>31499</v>
      </c>
      <c r="F62" s="8">
        <v>42435</v>
      </c>
      <c r="G62" s="6">
        <v>2</v>
      </c>
      <c r="H62" s="2" t="s">
        <v>181</v>
      </c>
      <c r="I62" s="6" t="s">
        <v>215</v>
      </c>
      <c r="J62" s="6" t="str">
        <f t="shared" si="0"/>
        <v>Female</v>
      </c>
      <c r="K62" s="5" t="str">
        <f t="shared" si="1"/>
        <v>Eve Adams</v>
      </c>
      <c r="L62" s="5" t="str" cm="1">
        <f t="array" ref="L62">IF(TRIM(C62)="",INDEX($C$2:$C$150,MATCH(MAX(COUNTIF($C$2:$C$150, $C$2:$C$150)), COUNTIF($C$2:$C$150, $C$2:$C$150), 0)),C62)</f>
        <v>Marketing</v>
      </c>
      <c r="M62" t="str" cm="1">
        <f t="array" ref="M62">IF(TRIM(D62)="",INDEX($D$2:$D$150,MATCH(MAX(COUNTIF($D$2:$D$150,$D$2:$D$150)),COUNTIF($D$2:$D$150,$D$2:$D$150),0)),D62)</f>
        <v>Australia</v>
      </c>
      <c r="N62" s="9">
        <f t="shared" si="2"/>
        <v>31499</v>
      </c>
      <c r="O62" s="10">
        <f t="shared" si="3"/>
        <v>42435</v>
      </c>
      <c r="P62" s="9">
        <f t="shared" si="4"/>
        <v>2</v>
      </c>
      <c r="Q62" s="5" t="str">
        <f t="shared" si="5"/>
        <v>user31@example.com</v>
      </c>
    </row>
    <row r="63" spans="1:17" x14ac:dyDescent="0.35">
      <c r="A63" s="6" t="s">
        <v>71</v>
      </c>
      <c r="B63" s="6" t="s">
        <v>164</v>
      </c>
      <c r="C63" s="6" t="s">
        <v>169</v>
      </c>
      <c r="D63" s="6" t="s">
        <v>175</v>
      </c>
      <c r="E63" s="6">
        <v>97981</v>
      </c>
      <c r="F63" s="8">
        <v>42442</v>
      </c>
      <c r="G63" s="6">
        <v>5</v>
      </c>
      <c r="H63" s="2" t="s">
        <v>181</v>
      </c>
      <c r="I63" s="6" t="s">
        <v>234</v>
      </c>
      <c r="J63" s="6" t="str">
        <f t="shared" si="0"/>
        <v>Female</v>
      </c>
      <c r="K63" s="5" t="str">
        <f t="shared" si="1"/>
        <v>Chris Lee</v>
      </c>
      <c r="L63" s="5" t="str" cm="1">
        <f t="array" ref="L63">IF(TRIM(C63)="",INDEX($C$2:$C$150,MATCH(MAX(COUNTIF($C$2:$C$150, $C$2:$C$150)), COUNTIF($C$2:$C$150, $C$2:$C$150), 0)),C63)</f>
        <v>IT</v>
      </c>
      <c r="M63" t="str" cm="1">
        <f t="array" ref="M63">IF(TRIM(D63)="",INDEX($D$2:$D$150,MATCH(MAX(COUNTIF($D$2:$D$150,$D$2:$D$150)),COUNTIF($D$2:$D$150,$D$2:$D$150),0)),D63)</f>
        <v>UK</v>
      </c>
      <c r="N63" s="9">
        <f t="shared" si="2"/>
        <v>97981</v>
      </c>
      <c r="O63" s="10">
        <f t="shared" si="3"/>
        <v>42442</v>
      </c>
      <c r="P63" s="9">
        <f t="shared" si="4"/>
        <v>5</v>
      </c>
      <c r="Q63" s="5" t="str">
        <f t="shared" si="5"/>
        <v>user71@example.com</v>
      </c>
    </row>
    <row r="64" spans="1:17" x14ac:dyDescent="0.35">
      <c r="A64" s="6" t="s">
        <v>72</v>
      </c>
      <c r="B64" s="6" t="s">
        <v>159</v>
      </c>
      <c r="C64" s="6" t="s">
        <v>167</v>
      </c>
      <c r="D64" s="6" t="s">
        <v>173</v>
      </c>
      <c r="E64" s="6">
        <v>36541</v>
      </c>
      <c r="F64" s="8">
        <v>42449</v>
      </c>
      <c r="G64" s="6">
        <v>2</v>
      </c>
      <c r="H64" s="2" t="s">
        <v>181</v>
      </c>
      <c r="I64" s="6" t="s">
        <v>235</v>
      </c>
      <c r="J64" s="6" t="str">
        <f t="shared" si="0"/>
        <v>Female</v>
      </c>
      <c r="K64" s="5" t="str">
        <f t="shared" si="1"/>
        <v>Eve Adams</v>
      </c>
      <c r="L64" s="5" t="str" cm="1">
        <f t="array" ref="L64">IF(TRIM(C64)="",INDEX($C$2:$C$150,MATCH(MAX(COUNTIF($C$2:$C$150, $C$2:$C$150)), COUNTIF($C$2:$C$150, $C$2:$C$150), 0)),C64)</f>
        <v>HR</v>
      </c>
      <c r="M64" t="str" cm="1">
        <f t="array" ref="M64">IF(TRIM(D64)="",INDEX($D$2:$D$150,MATCH(MAX(COUNTIF($D$2:$D$150,$D$2:$D$150)),COUNTIF($D$2:$D$150,$D$2:$D$150),0)),D64)</f>
        <v>USA</v>
      </c>
      <c r="N64" s="9">
        <f t="shared" si="2"/>
        <v>36541</v>
      </c>
      <c r="O64" s="10">
        <f t="shared" si="3"/>
        <v>42449</v>
      </c>
      <c r="P64" s="9">
        <f t="shared" si="4"/>
        <v>2</v>
      </c>
      <c r="Q64" s="5" t="str">
        <f t="shared" si="5"/>
        <v>user97@example.com</v>
      </c>
    </row>
    <row r="65" spans="1:17" x14ac:dyDescent="0.35">
      <c r="A65" s="6" t="s">
        <v>73</v>
      </c>
      <c r="B65" s="6" t="s">
        <v>161</v>
      </c>
      <c r="C65" s="6" t="s">
        <v>169</v>
      </c>
      <c r="D65" s="6" t="s">
        <v>174</v>
      </c>
      <c r="E65" s="6">
        <v>84737</v>
      </c>
      <c r="F65" s="8">
        <v>42456</v>
      </c>
      <c r="G65" s="6">
        <v>1</v>
      </c>
      <c r="H65" s="2" t="s">
        <v>180</v>
      </c>
      <c r="I65" s="6" t="s">
        <v>236</v>
      </c>
      <c r="J65" s="6" t="str">
        <f t="shared" si="0"/>
        <v>Male</v>
      </c>
      <c r="K65" s="5" t="str">
        <f t="shared" si="1"/>
        <v>John Doe</v>
      </c>
      <c r="L65" s="5" t="str" cm="1">
        <f t="array" ref="L65">IF(TRIM(C65)="",INDEX($C$2:$C$150,MATCH(MAX(COUNTIF($C$2:$C$150, $C$2:$C$150)), COUNTIF($C$2:$C$150, $C$2:$C$150), 0)),C65)</f>
        <v>IT</v>
      </c>
      <c r="M65" t="str" cm="1">
        <f t="array" ref="M65">IF(TRIM(D65)="",INDEX($D$2:$D$150,MATCH(MAX(COUNTIF($D$2:$D$150,$D$2:$D$150)),COUNTIF($D$2:$D$150,$D$2:$D$150),0)),D65)</f>
        <v>India</v>
      </c>
      <c r="N65" s="9">
        <f t="shared" si="2"/>
        <v>84737</v>
      </c>
      <c r="O65" s="10">
        <f t="shared" si="3"/>
        <v>42456</v>
      </c>
      <c r="P65" s="9">
        <f t="shared" si="4"/>
        <v>1</v>
      </c>
      <c r="Q65" s="5" t="str">
        <f t="shared" si="5"/>
        <v>user141@example.com</v>
      </c>
    </row>
    <row r="66" spans="1:17" x14ac:dyDescent="0.35">
      <c r="A66" s="6" t="s">
        <v>74</v>
      </c>
      <c r="B66" s="6" t="s">
        <v>163</v>
      </c>
      <c r="C66" s="6" t="s">
        <v>166</v>
      </c>
      <c r="D66" s="6" t="s">
        <v>174</v>
      </c>
      <c r="E66" s="6">
        <v>33468</v>
      </c>
      <c r="F66" s="8">
        <v>42463</v>
      </c>
      <c r="G66" s="6">
        <v>4</v>
      </c>
      <c r="H66" s="2" t="s">
        <v>180</v>
      </c>
      <c r="I66" s="6" t="s">
        <v>237</v>
      </c>
      <c r="J66" s="6" t="str">
        <f t="shared" si="0"/>
        <v>Male</v>
      </c>
      <c r="K66" s="5" t="str">
        <f t="shared" si="1"/>
        <v>Sam Wilson</v>
      </c>
      <c r="L66" s="5" t="str" cm="1">
        <f t="array" ref="L66">IF(TRIM(C66)="",INDEX($C$2:$C$150,MATCH(MAX(COUNTIF($C$2:$C$150, $C$2:$C$150)), COUNTIF($C$2:$C$150, $C$2:$C$150), 0)),C66)</f>
        <v>Finance</v>
      </c>
      <c r="M66" t="str" cm="1">
        <f t="array" ref="M66">IF(TRIM(D66)="",INDEX($D$2:$D$150,MATCH(MAX(COUNTIF($D$2:$D$150,$D$2:$D$150)),COUNTIF($D$2:$D$150,$D$2:$D$150),0)),D66)</f>
        <v>India</v>
      </c>
      <c r="N66" s="9">
        <f t="shared" si="2"/>
        <v>33468</v>
      </c>
      <c r="O66" s="10">
        <f t="shared" si="3"/>
        <v>42463</v>
      </c>
      <c r="P66" s="9">
        <f t="shared" si="4"/>
        <v>4</v>
      </c>
      <c r="Q66" s="5" t="str">
        <f t="shared" si="5"/>
        <v>user125@example.com</v>
      </c>
    </row>
    <row r="67" spans="1:17" x14ac:dyDescent="0.35">
      <c r="A67" s="6" t="s">
        <v>75</v>
      </c>
      <c r="B67" s="6" t="s">
        <v>163</v>
      </c>
      <c r="D67" s="6" t="s">
        <v>176</v>
      </c>
      <c r="E67" s="6">
        <v>96365</v>
      </c>
      <c r="F67" s="8">
        <v>42470</v>
      </c>
      <c r="G67" s="6">
        <v>3</v>
      </c>
      <c r="H67" s="2" t="s">
        <v>180</v>
      </c>
      <c r="I67" s="6" t="s">
        <v>238</v>
      </c>
      <c r="J67" s="6" t="str">
        <f t="shared" ref="J67:J130" si="6">PROPER(TRIM(H67))</f>
        <v>Male</v>
      </c>
      <c r="K67" s="5" t="str">
        <f t="shared" ref="K67:K130" si="7">IF(TRIM(B67)="", "Unknown", PROPER(B67))</f>
        <v>Sam Wilson</v>
      </c>
      <c r="L67" s="5" t="str" cm="1">
        <f t="array" ref="L67">IF(TRIM(C67)="",INDEX($C$2:$C$150,MATCH(MAX(COUNTIF($C$2:$C$150, $C$2:$C$150)), COUNTIF($C$2:$C$150, $C$2:$C$150), 0)),C67)</f>
        <v>Marketing</v>
      </c>
      <c r="M67" t="str" cm="1">
        <f t="array" ref="M67">IF(TRIM(D67)="",INDEX($D$2:$D$150,MATCH(MAX(COUNTIF($D$2:$D$150,$D$2:$D$150)),COUNTIF($D$2:$D$150,$D$2:$D$150),0)),D67)</f>
        <v>Australia</v>
      </c>
      <c r="N67" s="9">
        <f t="shared" ref="N67:N130" si="8">IF(TRIM(E67)="N/A", AVERAGEIF($E$2:$E$150,"&lt;&gt;N/A"),E67)</f>
        <v>96365</v>
      </c>
      <c r="O67" s="10">
        <f t="shared" ref="O67:O130" si="9">IF(TRIM(F67)="", MEDIAN($F$2:$F$150), F67)</f>
        <v>42470</v>
      </c>
      <c r="P67" s="9">
        <f t="shared" ref="P67:P130" si="10">IF(TRIM(G67)="", AVERAGEIF($G$2:$G$150, "&lt;&gt;"), G67)</f>
        <v>3</v>
      </c>
      <c r="Q67" s="5" t="str">
        <f t="shared" ref="Q67:Q130" si="11">IF(I67="invalid_Email","Unknown",LOWER(I67))</f>
        <v>user90@example.com</v>
      </c>
    </row>
    <row r="68" spans="1:17" x14ac:dyDescent="0.35">
      <c r="A68" s="6" t="s">
        <v>76</v>
      </c>
      <c r="B68" s="6" t="s">
        <v>160</v>
      </c>
      <c r="C68" s="6" t="s">
        <v>168</v>
      </c>
      <c r="D68" s="6" t="s">
        <v>174</v>
      </c>
      <c r="E68" s="6">
        <v>61942</v>
      </c>
      <c r="F68" s="8">
        <v>42477</v>
      </c>
      <c r="G68" s="6">
        <v>3</v>
      </c>
      <c r="H68" s="2" t="s">
        <v>181</v>
      </c>
      <c r="I68" s="6" t="s">
        <v>239</v>
      </c>
      <c r="J68" s="6" t="str">
        <f t="shared" si="6"/>
        <v>Female</v>
      </c>
      <c r="K68" s="5" t="str">
        <f t="shared" si="7"/>
        <v>Alice Brown</v>
      </c>
      <c r="L68" s="5" t="str" cm="1">
        <f t="array" ref="L68">IF(TRIM(C68)="",INDEX($C$2:$C$150,MATCH(MAX(COUNTIF($C$2:$C$150, $C$2:$C$150)), COUNTIF($C$2:$C$150, $C$2:$C$150), 0)),C68)</f>
        <v>Sales</v>
      </c>
      <c r="M68" t="str" cm="1">
        <f t="array" ref="M68">IF(TRIM(D68)="",INDEX($D$2:$D$150,MATCH(MAX(COUNTIF($D$2:$D$150,$D$2:$D$150)),COUNTIF($D$2:$D$150,$D$2:$D$150),0)),D68)</f>
        <v>India</v>
      </c>
      <c r="N68" s="9">
        <f t="shared" si="8"/>
        <v>61942</v>
      </c>
      <c r="O68" s="10">
        <f t="shared" si="9"/>
        <v>42477</v>
      </c>
      <c r="P68" s="9">
        <f t="shared" si="10"/>
        <v>3</v>
      </c>
      <c r="Q68" s="5" t="str">
        <f t="shared" si="11"/>
        <v>user192@example.com</v>
      </c>
    </row>
    <row r="69" spans="1:17" x14ac:dyDescent="0.35">
      <c r="A69" s="6" t="s">
        <v>77</v>
      </c>
      <c r="B69" s="6" t="s">
        <v>163</v>
      </c>
      <c r="C69" s="6" t="s">
        <v>166</v>
      </c>
      <c r="D69" s="6" t="s">
        <v>175</v>
      </c>
      <c r="E69" s="6">
        <v>41467</v>
      </c>
      <c r="F69" s="8">
        <v>42484</v>
      </c>
      <c r="G69" s="6">
        <v>2</v>
      </c>
      <c r="H69" s="2" t="s">
        <v>180</v>
      </c>
      <c r="I69" s="6" t="s">
        <v>201</v>
      </c>
      <c r="J69" s="6" t="str">
        <f t="shared" si="6"/>
        <v>Male</v>
      </c>
      <c r="K69" s="5" t="str">
        <f t="shared" si="7"/>
        <v>Sam Wilson</v>
      </c>
      <c r="L69" s="5" t="str" cm="1">
        <f t="array" ref="L69">IF(TRIM(C69)="",INDEX($C$2:$C$150,MATCH(MAX(COUNTIF($C$2:$C$150, $C$2:$C$150)), COUNTIF($C$2:$C$150, $C$2:$C$150), 0)),C69)</f>
        <v>Finance</v>
      </c>
      <c r="M69" t="str" cm="1">
        <f t="array" ref="M69">IF(TRIM(D69)="",INDEX($D$2:$D$150,MATCH(MAX(COUNTIF($D$2:$D$150,$D$2:$D$150)),COUNTIF($D$2:$D$150,$D$2:$D$150),0)),D69)</f>
        <v>UK</v>
      </c>
      <c r="N69" s="9">
        <f t="shared" si="8"/>
        <v>41467</v>
      </c>
      <c r="O69" s="10">
        <f t="shared" si="9"/>
        <v>42484</v>
      </c>
      <c r="P69" s="9">
        <f t="shared" si="10"/>
        <v>2</v>
      </c>
      <c r="Q69" s="5" t="str">
        <f t="shared" si="11"/>
        <v>user77@example.com</v>
      </c>
    </row>
    <row r="70" spans="1:17" x14ac:dyDescent="0.35">
      <c r="A70" s="6" t="s">
        <v>78</v>
      </c>
      <c r="B70" s="6" t="s">
        <v>165</v>
      </c>
      <c r="C70" s="6" t="s">
        <v>166</v>
      </c>
      <c r="D70" s="6" t="s">
        <v>174</v>
      </c>
      <c r="E70" s="6">
        <v>77096</v>
      </c>
      <c r="F70" s="8">
        <v>42491</v>
      </c>
      <c r="G70" s="6">
        <v>1</v>
      </c>
      <c r="H70" s="2" t="s">
        <v>180</v>
      </c>
      <c r="I70" s="6" t="s">
        <v>240</v>
      </c>
      <c r="J70" s="6" t="str">
        <f t="shared" si="6"/>
        <v>Male</v>
      </c>
      <c r="K70" s="5" t="str">
        <f t="shared" si="7"/>
        <v>Bob Johnson</v>
      </c>
      <c r="L70" s="5" t="str" cm="1">
        <f t="array" ref="L70">IF(TRIM(C70)="",INDEX($C$2:$C$150,MATCH(MAX(COUNTIF($C$2:$C$150, $C$2:$C$150)), COUNTIF($C$2:$C$150, $C$2:$C$150), 0)),C70)</f>
        <v>Finance</v>
      </c>
      <c r="M70" t="str" cm="1">
        <f t="array" ref="M70">IF(TRIM(D70)="",INDEX($D$2:$D$150,MATCH(MAX(COUNTIF($D$2:$D$150,$D$2:$D$150)),COUNTIF($D$2:$D$150,$D$2:$D$150),0)),D70)</f>
        <v>India</v>
      </c>
      <c r="N70" s="9">
        <f t="shared" si="8"/>
        <v>77096</v>
      </c>
      <c r="O70" s="10">
        <f t="shared" si="9"/>
        <v>42491</v>
      </c>
      <c r="P70" s="9">
        <f t="shared" si="10"/>
        <v>1</v>
      </c>
      <c r="Q70" s="5" t="str">
        <f t="shared" si="11"/>
        <v>user65@example.com</v>
      </c>
    </row>
    <row r="71" spans="1:17" x14ac:dyDescent="0.35">
      <c r="A71" s="6" t="s">
        <v>79</v>
      </c>
      <c r="B71" s="6" t="s">
        <v>159</v>
      </c>
      <c r="C71" s="6" t="s">
        <v>168</v>
      </c>
      <c r="D71" s="6" t="s">
        <v>176</v>
      </c>
      <c r="E71" s="6">
        <v>69952</v>
      </c>
      <c r="F71" s="8">
        <v>42498</v>
      </c>
      <c r="G71" s="6">
        <v>5</v>
      </c>
      <c r="H71" s="2" t="s">
        <v>181</v>
      </c>
      <c r="I71" s="6" t="s">
        <v>182</v>
      </c>
      <c r="J71" s="6" t="str">
        <f t="shared" si="6"/>
        <v>Female</v>
      </c>
      <c r="K71" s="5" t="str">
        <f t="shared" si="7"/>
        <v>Eve Adams</v>
      </c>
      <c r="L71" s="5" t="str" cm="1">
        <f t="array" ref="L71">IF(TRIM(C71)="",INDEX($C$2:$C$150,MATCH(MAX(COUNTIF($C$2:$C$150, $C$2:$C$150)), COUNTIF($C$2:$C$150, $C$2:$C$150), 0)),C71)</f>
        <v>Sales</v>
      </c>
      <c r="M71" t="str" cm="1">
        <f t="array" ref="M71">IF(TRIM(D71)="",INDEX($D$2:$D$150,MATCH(MAX(COUNTIF($D$2:$D$150,$D$2:$D$150)),COUNTIF($D$2:$D$150,$D$2:$D$150),0)),D71)</f>
        <v>Australia</v>
      </c>
      <c r="N71" s="9">
        <f t="shared" si="8"/>
        <v>69952</v>
      </c>
      <c r="O71" s="10">
        <f t="shared" si="9"/>
        <v>42498</v>
      </c>
      <c r="P71" s="9">
        <f t="shared" si="10"/>
        <v>5</v>
      </c>
      <c r="Q71" s="5" t="str">
        <f t="shared" si="11"/>
        <v>Unknown</v>
      </c>
    </row>
    <row r="72" spans="1:17" x14ac:dyDescent="0.35">
      <c r="A72" s="6" t="s">
        <v>80</v>
      </c>
      <c r="B72" s="6" t="s">
        <v>159</v>
      </c>
      <c r="C72" s="6" t="s">
        <v>170</v>
      </c>
      <c r="D72" s="6" t="s">
        <v>173</v>
      </c>
      <c r="E72" s="6">
        <v>85065</v>
      </c>
      <c r="F72" s="8">
        <v>42505</v>
      </c>
      <c r="G72" s="6">
        <v>3</v>
      </c>
      <c r="H72" s="2" t="s">
        <v>181</v>
      </c>
      <c r="I72" s="6" t="s">
        <v>241</v>
      </c>
      <c r="J72" s="6" t="str">
        <f t="shared" si="6"/>
        <v>Female</v>
      </c>
      <c r="K72" s="5" t="str">
        <f t="shared" si="7"/>
        <v>Eve Adams</v>
      </c>
      <c r="L72" s="5" t="str" cm="1">
        <f t="array" ref="L72">IF(TRIM(C72)="",INDEX($C$2:$C$150,MATCH(MAX(COUNTIF($C$2:$C$150, $C$2:$C$150)), COUNTIF($C$2:$C$150, $C$2:$C$150), 0)),C72)</f>
        <v>Marketing</v>
      </c>
      <c r="M72" t="str" cm="1">
        <f t="array" ref="M72">IF(TRIM(D72)="",INDEX($D$2:$D$150,MATCH(MAX(COUNTIF($D$2:$D$150,$D$2:$D$150)),COUNTIF($D$2:$D$150,$D$2:$D$150),0)),D72)</f>
        <v>USA</v>
      </c>
      <c r="N72" s="9">
        <f t="shared" si="8"/>
        <v>85065</v>
      </c>
      <c r="O72" s="10">
        <f t="shared" si="9"/>
        <v>42505</v>
      </c>
      <c r="P72" s="9">
        <f t="shared" si="10"/>
        <v>3</v>
      </c>
      <c r="Q72" s="5" t="str">
        <f t="shared" si="11"/>
        <v>user142@example.com</v>
      </c>
    </row>
    <row r="73" spans="1:17" x14ac:dyDescent="0.35">
      <c r="A73" s="6" t="s">
        <v>81</v>
      </c>
      <c r="B73" s="6" t="s">
        <v>165</v>
      </c>
      <c r="C73" s="6" t="s">
        <v>170</v>
      </c>
      <c r="D73" s="6" t="s">
        <v>174</v>
      </c>
      <c r="E73" s="6">
        <v>56512</v>
      </c>
      <c r="F73" s="8">
        <v>42512</v>
      </c>
      <c r="H73" s="2" t="s">
        <v>180</v>
      </c>
      <c r="I73" s="6" t="s">
        <v>190</v>
      </c>
      <c r="J73" s="6" t="str">
        <f t="shared" si="6"/>
        <v>Male</v>
      </c>
      <c r="K73" s="5" t="str">
        <f t="shared" si="7"/>
        <v>Bob Johnson</v>
      </c>
      <c r="L73" s="5" t="str" cm="1">
        <f t="array" ref="L73">IF(TRIM(C73)="",INDEX($C$2:$C$150,MATCH(MAX(COUNTIF($C$2:$C$150, $C$2:$C$150)), COUNTIF($C$2:$C$150, $C$2:$C$150), 0)),C73)</f>
        <v>Marketing</v>
      </c>
      <c r="M73" t="str" cm="1">
        <f t="array" ref="M73">IF(TRIM(D73)="",INDEX($D$2:$D$150,MATCH(MAX(COUNTIF($D$2:$D$150,$D$2:$D$150)),COUNTIF($D$2:$D$150,$D$2:$D$150),0)),D73)</f>
        <v>India</v>
      </c>
      <c r="N73" s="9">
        <f t="shared" si="8"/>
        <v>56512</v>
      </c>
      <c r="O73" s="10">
        <f t="shared" si="9"/>
        <v>42512</v>
      </c>
      <c r="P73" s="9">
        <f t="shared" si="10"/>
        <v>2.879032258064516</v>
      </c>
      <c r="Q73" s="5" t="str">
        <f t="shared" si="11"/>
        <v>user153@example.com</v>
      </c>
    </row>
    <row r="74" spans="1:17" x14ac:dyDescent="0.35">
      <c r="A74" s="6" t="s">
        <v>82</v>
      </c>
      <c r="B74" s="6" t="s">
        <v>161</v>
      </c>
      <c r="C74" s="6" t="s">
        <v>168</v>
      </c>
      <c r="D74" s="6" t="s">
        <v>174</v>
      </c>
      <c r="E74" s="6">
        <v>91101</v>
      </c>
      <c r="F74" s="8">
        <v>42519</v>
      </c>
      <c r="G74" s="6">
        <v>4</v>
      </c>
      <c r="H74" s="2" t="s">
        <v>181</v>
      </c>
      <c r="I74" s="6" t="s">
        <v>234</v>
      </c>
      <c r="J74" s="6" t="str">
        <f t="shared" si="6"/>
        <v>Female</v>
      </c>
      <c r="K74" s="5" t="str">
        <f t="shared" si="7"/>
        <v>John Doe</v>
      </c>
      <c r="L74" s="5" t="str" cm="1">
        <f t="array" ref="L74">IF(TRIM(C74)="",INDEX($C$2:$C$150,MATCH(MAX(COUNTIF($C$2:$C$150, $C$2:$C$150)), COUNTIF($C$2:$C$150, $C$2:$C$150), 0)),C74)</f>
        <v>Sales</v>
      </c>
      <c r="M74" t="str" cm="1">
        <f t="array" ref="M74">IF(TRIM(D74)="",INDEX($D$2:$D$150,MATCH(MAX(COUNTIF($D$2:$D$150,$D$2:$D$150)),COUNTIF($D$2:$D$150,$D$2:$D$150),0)),D74)</f>
        <v>India</v>
      </c>
      <c r="N74" s="9">
        <f t="shared" si="8"/>
        <v>91101</v>
      </c>
      <c r="O74" s="10">
        <f t="shared" si="9"/>
        <v>42519</v>
      </c>
      <c r="P74" s="9">
        <f t="shared" si="10"/>
        <v>4</v>
      </c>
      <c r="Q74" s="5" t="str">
        <f t="shared" si="11"/>
        <v>user71@example.com</v>
      </c>
    </row>
    <row r="75" spans="1:17" x14ac:dyDescent="0.35">
      <c r="A75" s="6" t="s">
        <v>83</v>
      </c>
      <c r="B75" s="6" t="s">
        <v>163</v>
      </c>
      <c r="D75" s="6" t="s">
        <v>172</v>
      </c>
      <c r="E75" s="6">
        <v>41243</v>
      </c>
      <c r="F75" s="8">
        <v>42526</v>
      </c>
      <c r="H75" s="2" t="s">
        <v>180</v>
      </c>
      <c r="I75" s="6" t="s">
        <v>211</v>
      </c>
      <c r="J75" s="6" t="str">
        <f t="shared" si="6"/>
        <v>Male</v>
      </c>
      <c r="K75" s="5" t="str">
        <f t="shared" si="7"/>
        <v>Sam Wilson</v>
      </c>
      <c r="L75" s="5" t="str" cm="1">
        <f t="array" ref="L75">IF(TRIM(C75)="",INDEX($C$2:$C$150,MATCH(MAX(COUNTIF($C$2:$C$150, $C$2:$C$150)), COUNTIF($C$2:$C$150, $C$2:$C$150), 0)),C75)</f>
        <v>Marketing</v>
      </c>
      <c r="M75" t="str" cm="1">
        <f t="array" ref="M75">IF(TRIM(D75)="",INDEX($D$2:$D$150,MATCH(MAX(COUNTIF($D$2:$D$150,$D$2:$D$150)),COUNTIF($D$2:$D$150,$D$2:$D$150),0)),D75)</f>
        <v>Germany</v>
      </c>
      <c r="N75" s="9">
        <f t="shared" si="8"/>
        <v>41243</v>
      </c>
      <c r="O75" s="10">
        <f t="shared" si="9"/>
        <v>42526</v>
      </c>
      <c r="P75" s="9">
        <f t="shared" si="10"/>
        <v>2.879032258064516</v>
      </c>
      <c r="Q75" s="5" t="str">
        <f t="shared" si="11"/>
        <v>user143@example.com</v>
      </c>
    </row>
    <row r="76" spans="1:17" x14ac:dyDescent="0.35">
      <c r="A76" s="6" t="s">
        <v>84</v>
      </c>
      <c r="B76" s="6" t="s">
        <v>281</v>
      </c>
      <c r="C76" s="6" t="s">
        <v>168</v>
      </c>
      <c r="D76" s="6" t="s">
        <v>171</v>
      </c>
      <c r="E76" s="6">
        <v>96142</v>
      </c>
      <c r="F76" s="8">
        <v>42533</v>
      </c>
      <c r="G76" s="6">
        <v>1</v>
      </c>
      <c r="H76" s="2" t="s">
        <v>178</v>
      </c>
      <c r="I76" s="6" t="s">
        <v>242</v>
      </c>
      <c r="J76" s="6" t="str">
        <f t="shared" si="6"/>
        <v>Unknown</v>
      </c>
      <c r="K76" s="5" t="str">
        <f t="shared" si="7"/>
        <v>Unknown</v>
      </c>
      <c r="L76" s="5" t="str" cm="1">
        <f t="array" ref="L76">IF(TRIM(C76)="",INDEX($C$2:$C$150,MATCH(MAX(COUNTIF($C$2:$C$150, $C$2:$C$150)), COUNTIF($C$2:$C$150, $C$2:$C$150), 0)),C76)</f>
        <v>Sales</v>
      </c>
      <c r="M76" t="str" cm="1">
        <f t="array" ref="M76">IF(TRIM(D76)="",INDEX($D$2:$D$150,MATCH(MAX(COUNTIF($D$2:$D$150,$D$2:$D$150)),COUNTIF($D$2:$D$150,$D$2:$D$150),0)),D76)</f>
        <v>India</v>
      </c>
      <c r="N76" s="9">
        <f t="shared" si="8"/>
        <v>96142</v>
      </c>
      <c r="O76" s="10">
        <f t="shared" si="9"/>
        <v>42533</v>
      </c>
      <c r="P76" s="9">
        <f t="shared" si="10"/>
        <v>1</v>
      </c>
      <c r="Q76" s="5" t="str">
        <f t="shared" si="11"/>
        <v>user17@example.com</v>
      </c>
    </row>
    <row r="77" spans="1:17" x14ac:dyDescent="0.35">
      <c r="A77" s="6" t="s">
        <v>85</v>
      </c>
      <c r="B77" s="6" t="s">
        <v>159</v>
      </c>
      <c r="C77" s="6" t="s">
        <v>169</v>
      </c>
      <c r="D77" s="6" t="s">
        <v>174</v>
      </c>
      <c r="E77" s="6">
        <v>94301</v>
      </c>
      <c r="F77" s="8">
        <v>42540</v>
      </c>
      <c r="G77" s="6">
        <v>1</v>
      </c>
      <c r="H77" s="2" t="s">
        <v>181</v>
      </c>
      <c r="I77" s="6" t="s">
        <v>223</v>
      </c>
      <c r="J77" s="6" t="str">
        <f t="shared" si="6"/>
        <v>Female</v>
      </c>
      <c r="K77" s="5" t="str">
        <f t="shared" si="7"/>
        <v>Eve Adams</v>
      </c>
      <c r="L77" s="5" t="str" cm="1">
        <f t="array" ref="L77">IF(TRIM(C77)="",INDEX($C$2:$C$150,MATCH(MAX(COUNTIF($C$2:$C$150, $C$2:$C$150)), COUNTIF($C$2:$C$150, $C$2:$C$150), 0)),C77)</f>
        <v>IT</v>
      </c>
      <c r="M77" t="str" cm="1">
        <f t="array" ref="M77">IF(TRIM(D77)="",INDEX($D$2:$D$150,MATCH(MAX(COUNTIF($D$2:$D$150,$D$2:$D$150)),COUNTIF($D$2:$D$150,$D$2:$D$150),0)),D77)</f>
        <v>India</v>
      </c>
      <c r="N77" s="9">
        <f t="shared" si="8"/>
        <v>94301</v>
      </c>
      <c r="O77" s="10">
        <f t="shared" si="9"/>
        <v>42540</v>
      </c>
      <c r="P77" s="9">
        <f t="shared" si="10"/>
        <v>1</v>
      </c>
      <c r="Q77" s="5" t="str">
        <f t="shared" si="11"/>
        <v>user20@example.com</v>
      </c>
    </row>
    <row r="78" spans="1:17" x14ac:dyDescent="0.35">
      <c r="A78" s="6" t="s">
        <v>86</v>
      </c>
      <c r="B78" s="6" t="s">
        <v>162</v>
      </c>
      <c r="D78" s="6" t="s">
        <v>175</v>
      </c>
      <c r="E78" s="6">
        <v>69166</v>
      </c>
      <c r="F78" s="8">
        <v>42547</v>
      </c>
      <c r="G78" s="6">
        <v>1</v>
      </c>
      <c r="H78" s="2" t="s">
        <v>181</v>
      </c>
      <c r="I78" s="6" t="s">
        <v>243</v>
      </c>
      <c r="J78" s="6" t="str">
        <f t="shared" si="6"/>
        <v>Female</v>
      </c>
      <c r="K78" s="5" t="str">
        <f t="shared" si="7"/>
        <v>Jane Smith</v>
      </c>
      <c r="L78" s="5" t="str" cm="1">
        <f t="array" ref="L78">IF(TRIM(C78)="",INDEX($C$2:$C$150,MATCH(MAX(COUNTIF($C$2:$C$150, $C$2:$C$150)), COUNTIF($C$2:$C$150, $C$2:$C$150), 0)),C78)</f>
        <v>Marketing</v>
      </c>
      <c r="M78" t="str" cm="1">
        <f t="array" ref="M78">IF(TRIM(D78)="",INDEX($D$2:$D$150,MATCH(MAX(COUNTIF($D$2:$D$150,$D$2:$D$150)),COUNTIF($D$2:$D$150,$D$2:$D$150),0)),D78)</f>
        <v>UK</v>
      </c>
      <c r="N78" s="9">
        <f t="shared" si="8"/>
        <v>69166</v>
      </c>
      <c r="O78" s="10">
        <f t="shared" si="9"/>
        <v>42547</v>
      </c>
      <c r="P78" s="9">
        <f t="shared" si="10"/>
        <v>1</v>
      </c>
      <c r="Q78" s="5" t="str">
        <f t="shared" si="11"/>
        <v>user22@example.com</v>
      </c>
    </row>
    <row r="79" spans="1:17" x14ac:dyDescent="0.35">
      <c r="A79" s="6" t="s">
        <v>87</v>
      </c>
      <c r="B79" s="6" t="s">
        <v>163</v>
      </c>
      <c r="D79" s="6" t="s">
        <v>175</v>
      </c>
      <c r="E79" s="6">
        <v>78245</v>
      </c>
      <c r="F79" s="8">
        <v>42554</v>
      </c>
      <c r="G79" s="6">
        <v>2</v>
      </c>
      <c r="H79" s="2" t="s">
        <v>180</v>
      </c>
      <c r="I79" s="6" t="s">
        <v>244</v>
      </c>
      <c r="J79" s="6" t="str">
        <f t="shared" si="6"/>
        <v>Male</v>
      </c>
      <c r="K79" s="5" t="str">
        <f t="shared" si="7"/>
        <v>Sam Wilson</v>
      </c>
      <c r="L79" s="5" t="str" cm="1">
        <f t="array" ref="L79">IF(TRIM(C79)="",INDEX($C$2:$C$150,MATCH(MAX(COUNTIF($C$2:$C$150, $C$2:$C$150)), COUNTIF($C$2:$C$150, $C$2:$C$150), 0)),C79)</f>
        <v>Marketing</v>
      </c>
      <c r="M79" t="str" cm="1">
        <f t="array" ref="M79">IF(TRIM(D79)="",INDEX($D$2:$D$150,MATCH(MAX(COUNTIF($D$2:$D$150,$D$2:$D$150)),COUNTIF($D$2:$D$150,$D$2:$D$150),0)),D79)</f>
        <v>UK</v>
      </c>
      <c r="N79" s="9">
        <f t="shared" si="8"/>
        <v>78245</v>
      </c>
      <c r="O79" s="10">
        <f t="shared" si="9"/>
        <v>42554</v>
      </c>
      <c r="P79" s="9">
        <f t="shared" si="10"/>
        <v>2</v>
      </c>
      <c r="Q79" s="5" t="str">
        <f t="shared" si="11"/>
        <v>user46@example.com</v>
      </c>
    </row>
    <row r="80" spans="1:17" x14ac:dyDescent="0.35">
      <c r="A80" s="6" t="s">
        <v>88</v>
      </c>
      <c r="B80" s="6" t="s">
        <v>164</v>
      </c>
      <c r="C80" s="6" t="s">
        <v>168</v>
      </c>
      <c r="D80" s="6" t="s">
        <v>173</v>
      </c>
      <c r="E80" s="6">
        <v>66079</v>
      </c>
      <c r="F80" s="8">
        <v>42561</v>
      </c>
      <c r="G80" s="6">
        <v>2</v>
      </c>
      <c r="H80" s="2" t="s">
        <v>180</v>
      </c>
      <c r="I80" s="6" t="s">
        <v>245</v>
      </c>
      <c r="J80" s="6" t="str">
        <f t="shared" si="6"/>
        <v>Male</v>
      </c>
      <c r="K80" s="5" t="str">
        <f t="shared" si="7"/>
        <v>Chris Lee</v>
      </c>
      <c r="L80" s="5" t="str" cm="1">
        <f t="array" ref="L80">IF(TRIM(C80)="",INDEX($C$2:$C$150,MATCH(MAX(COUNTIF($C$2:$C$150, $C$2:$C$150)), COUNTIF($C$2:$C$150, $C$2:$C$150), 0)),C80)</f>
        <v>Sales</v>
      </c>
      <c r="M80" t="str" cm="1">
        <f t="array" ref="M80">IF(TRIM(D80)="",INDEX($D$2:$D$150,MATCH(MAX(COUNTIF($D$2:$D$150,$D$2:$D$150)),COUNTIF($D$2:$D$150,$D$2:$D$150),0)),D80)</f>
        <v>USA</v>
      </c>
      <c r="N80" s="9">
        <f t="shared" si="8"/>
        <v>66079</v>
      </c>
      <c r="O80" s="10">
        <f t="shared" si="9"/>
        <v>42561</v>
      </c>
      <c r="P80" s="9">
        <f t="shared" si="10"/>
        <v>2</v>
      </c>
      <c r="Q80" s="5" t="str">
        <f t="shared" si="11"/>
        <v>user55@example.com</v>
      </c>
    </row>
    <row r="81" spans="1:17" x14ac:dyDescent="0.35">
      <c r="A81" s="6" t="s">
        <v>89</v>
      </c>
      <c r="B81" s="6" t="s">
        <v>159</v>
      </c>
      <c r="C81" s="6" t="s">
        <v>170</v>
      </c>
      <c r="D81" s="6" t="s">
        <v>174</v>
      </c>
      <c r="E81" s="6" t="s">
        <v>177</v>
      </c>
      <c r="F81" s="8"/>
      <c r="H81" s="2" t="s">
        <v>181</v>
      </c>
      <c r="I81" s="6" t="s">
        <v>208</v>
      </c>
      <c r="J81" s="6" t="str">
        <f t="shared" si="6"/>
        <v>Female</v>
      </c>
      <c r="K81" s="5" t="str">
        <f t="shared" si="7"/>
        <v>Eve Adams</v>
      </c>
      <c r="L81" s="5" t="str" cm="1">
        <f t="array" ref="L81">IF(TRIM(C81)="",INDEX($C$2:$C$150,MATCH(MAX(COUNTIF($C$2:$C$150, $C$2:$C$150)), COUNTIF($C$2:$C$150, $C$2:$C$150), 0)),C81)</f>
        <v>Marketing</v>
      </c>
      <c r="M81" t="str" cm="1">
        <f t="array" ref="M81">IF(TRIM(D81)="",INDEX($D$2:$D$150,MATCH(MAX(COUNTIF($D$2:$D$150,$D$2:$D$150)),COUNTIF($D$2:$D$150,$D$2:$D$150),0)),D81)</f>
        <v>India</v>
      </c>
      <c r="N81" s="9">
        <f t="shared" si="8"/>
        <v>66280.929577464791</v>
      </c>
      <c r="O81" s="10">
        <f t="shared" si="9"/>
        <v>42533</v>
      </c>
      <c r="P81" s="9">
        <f t="shared" si="10"/>
        <v>2.879032258064516</v>
      </c>
      <c r="Q81" s="5" t="str">
        <f t="shared" si="11"/>
        <v>user135@example.com</v>
      </c>
    </row>
    <row r="82" spans="1:17" x14ac:dyDescent="0.35">
      <c r="A82" s="6" t="s">
        <v>90</v>
      </c>
      <c r="B82" s="6" t="s">
        <v>162</v>
      </c>
      <c r="C82" s="6" t="s">
        <v>168</v>
      </c>
      <c r="D82" s="6" t="s">
        <v>173</v>
      </c>
      <c r="E82" s="6">
        <v>95621</v>
      </c>
      <c r="F82" s="8">
        <v>42575</v>
      </c>
      <c r="G82" s="6">
        <v>3</v>
      </c>
      <c r="H82" s="2" t="s">
        <v>181</v>
      </c>
      <c r="I82" s="6" t="s">
        <v>246</v>
      </c>
      <c r="J82" s="6" t="str">
        <f t="shared" si="6"/>
        <v>Female</v>
      </c>
      <c r="K82" s="5" t="str">
        <f t="shared" si="7"/>
        <v>Jane Smith</v>
      </c>
      <c r="L82" s="5" t="str" cm="1">
        <f t="array" ref="L82">IF(TRIM(C82)="",INDEX($C$2:$C$150,MATCH(MAX(COUNTIF($C$2:$C$150, $C$2:$C$150)), COUNTIF($C$2:$C$150, $C$2:$C$150), 0)),C82)</f>
        <v>Sales</v>
      </c>
      <c r="M82" t="str" cm="1">
        <f t="array" ref="M82">IF(TRIM(D82)="",INDEX($D$2:$D$150,MATCH(MAX(COUNTIF($D$2:$D$150,$D$2:$D$150)),COUNTIF($D$2:$D$150,$D$2:$D$150),0)),D82)</f>
        <v>USA</v>
      </c>
      <c r="N82" s="9">
        <f t="shared" si="8"/>
        <v>95621</v>
      </c>
      <c r="O82" s="10">
        <f t="shared" si="9"/>
        <v>42575</v>
      </c>
      <c r="P82" s="9">
        <f t="shared" si="10"/>
        <v>3</v>
      </c>
      <c r="Q82" s="5" t="str">
        <f t="shared" si="11"/>
        <v>user156@example.com</v>
      </c>
    </row>
    <row r="83" spans="1:17" x14ac:dyDescent="0.35">
      <c r="A83" s="6" t="s">
        <v>91</v>
      </c>
      <c r="B83" s="6" t="s">
        <v>159</v>
      </c>
      <c r="C83" s="6" t="s">
        <v>169</v>
      </c>
      <c r="D83" s="6" t="s">
        <v>175</v>
      </c>
      <c r="E83" s="6">
        <v>42262</v>
      </c>
      <c r="F83" s="8">
        <v>42582</v>
      </c>
      <c r="G83" s="6">
        <v>1</v>
      </c>
      <c r="H83" s="2" t="s">
        <v>181</v>
      </c>
      <c r="I83" s="6" t="s">
        <v>247</v>
      </c>
      <c r="J83" s="6" t="str">
        <f t="shared" si="6"/>
        <v>Female</v>
      </c>
      <c r="K83" s="5" t="str">
        <f t="shared" si="7"/>
        <v>Eve Adams</v>
      </c>
      <c r="L83" s="5" t="str" cm="1">
        <f t="array" ref="L83">IF(TRIM(C83)="",INDEX($C$2:$C$150,MATCH(MAX(COUNTIF($C$2:$C$150, $C$2:$C$150)), COUNTIF($C$2:$C$150, $C$2:$C$150), 0)),C83)</f>
        <v>IT</v>
      </c>
      <c r="M83" t="str" cm="1">
        <f t="array" ref="M83">IF(TRIM(D83)="",INDEX($D$2:$D$150,MATCH(MAX(COUNTIF($D$2:$D$150,$D$2:$D$150)),COUNTIF($D$2:$D$150,$D$2:$D$150),0)),D83)</f>
        <v>UK</v>
      </c>
      <c r="N83" s="9">
        <f t="shared" si="8"/>
        <v>42262</v>
      </c>
      <c r="O83" s="10">
        <f t="shared" si="9"/>
        <v>42582</v>
      </c>
      <c r="P83" s="9">
        <f t="shared" si="10"/>
        <v>1</v>
      </c>
      <c r="Q83" s="5" t="str">
        <f t="shared" si="11"/>
        <v>user104@example.com</v>
      </c>
    </row>
    <row r="84" spans="1:17" x14ac:dyDescent="0.35">
      <c r="A84" s="6" t="s">
        <v>92</v>
      </c>
      <c r="B84" s="6" t="s">
        <v>163</v>
      </c>
      <c r="C84" s="6" t="s">
        <v>168</v>
      </c>
      <c r="D84" s="6" t="s">
        <v>174</v>
      </c>
      <c r="E84" s="6">
        <v>99621</v>
      </c>
      <c r="F84" s="8">
        <v>42589</v>
      </c>
      <c r="H84" s="2" t="s">
        <v>180</v>
      </c>
      <c r="I84" s="6" t="s">
        <v>248</v>
      </c>
      <c r="J84" s="6" t="str">
        <f t="shared" si="6"/>
        <v>Male</v>
      </c>
      <c r="K84" s="5" t="str">
        <f t="shared" si="7"/>
        <v>Sam Wilson</v>
      </c>
      <c r="L84" s="5" t="str" cm="1">
        <f t="array" ref="L84">IF(TRIM(C84)="",INDEX($C$2:$C$150,MATCH(MAX(COUNTIF($C$2:$C$150, $C$2:$C$150)), COUNTIF($C$2:$C$150, $C$2:$C$150), 0)),C84)</f>
        <v>Sales</v>
      </c>
      <c r="M84" t="str" cm="1">
        <f t="array" ref="M84">IF(TRIM(D84)="",INDEX($D$2:$D$150,MATCH(MAX(COUNTIF($D$2:$D$150,$D$2:$D$150)),COUNTIF($D$2:$D$150,$D$2:$D$150),0)),D84)</f>
        <v>India</v>
      </c>
      <c r="N84" s="9">
        <f t="shared" si="8"/>
        <v>99621</v>
      </c>
      <c r="O84" s="10">
        <f t="shared" si="9"/>
        <v>42589</v>
      </c>
      <c r="P84" s="9">
        <f t="shared" si="10"/>
        <v>2.879032258064516</v>
      </c>
      <c r="Q84" s="5" t="str">
        <f t="shared" si="11"/>
        <v>user145@example.com</v>
      </c>
    </row>
    <row r="85" spans="1:17" x14ac:dyDescent="0.35">
      <c r="A85" s="6" t="s">
        <v>93</v>
      </c>
      <c r="B85" s="6" t="s">
        <v>161</v>
      </c>
      <c r="C85" s="6" t="s">
        <v>170</v>
      </c>
      <c r="D85" s="6" t="s">
        <v>174</v>
      </c>
      <c r="E85" s="6">
        <v>44682</v>
      </c>
      <c r="F85" s="8">
        <v>42596</v>
      </c>
      <c r="G85" s="6">
        <v>4</v>
      </c>
      <c r="H85" s="2" t="s">
        <v>181</v>
      </c>
      <c r="I85" s="6" t="s">
        <v>220</v>
      </c>
      <c r="J85" s="6" t="str">
        <f t="shared" si="6"/>
        <v>Female</v>
      </c>
      <c r="K85" s="5" t="str">
        <f t="shared" si="7"/>
        <v>John Doe</v>
      </c>
      <c r="L85" s="5" t="str" cm="1">
        <f t="array" ref="L85">IF(TRIM(C85)="",INDEX($C$2:$C$150,MATCH(MAX(COUNTIF($C$2:$C$150, $C$2:$C$150)), COUNTIF($C$2:$C$150, $C$2:$C$150), 0)),C85)</f>
        <v>Marketing</v>
      </c>
      <c r="M85" t="str" cm="1">
        <f t="array" ref="M85">IF(TRIM(D85)="",INDEX($D$2:$D$150,MATCH(MAX(COUNTIF($D$2:$D$150,$D$2:$D$150)),COUNTIF($D$2:$D$150,$D$2:$D$150),0)),D85)</f>
        <v>India</v>
      </c>
      <c r="N85" s="9">
        <f t="shared" si="8"/>
        <v>44682</v>
      </c>
      <c r="O85" s="10">
        <f t="shared" si="9"/>
        <v>42596</v>
      </c>
      <c r="P85" s="9">
        <f t="shared" si="10"/>
        <v>4</v>
      </c>
      <c r="Q85" s="5" t="str">
        <f t="shared" si="11"/>
        <v>user47@example.com</v>
      </c>
    </row>
    <row r="86" spans="1:17" x14ac:dyDescent="0.35">
      <c r="A86" s="6" t="s">
        <v>94</v>
      </c>
      <c r="B86" s="6" t="s">
        <v>164</v>
      </c>
      <c r="C86" s="6" t="s">
        <v>166</v>
      </c>
      <c r="E86" s="6">
        <v>35163</v>
      </c>
      <c r="F86" s="8">
        <v>42603</v>
      </c>
      <c r="G86" s="6">
        <v>5</v>
      </c>
      <c r="H86" s="2" t="s">
        <v>180</v>
      </c>
      <c r="I86" s="6" t="s">
        <v>249</v>
      </c>
      <c r="J86" s="6" t="str">
        <f t="shared" si="6"/>
        <v>Male</v>
      </c>
      <c r="K86" s="5" t="str">
        <f t="shared" si="7"/>
        <v>Chris Lee</v>
      </c>
      <c r="L86" s="5" t="str" cm="1">
        <f t="array" ref="L86">IF(TRIM(C86)="",INDEX($C$2:$C$150,MATCH(MAX(COUNTIF($C$2:$C$150, $C$2:$C$150)), COUNTIF($C$2:$C$150, $C$2:$C$150), 0)),C86)</f>
        <v>Finance</v>
      </c>
      <c r="M86" t="str" cm="1">
        <f t="array" ref="M86">IF(TRIM(D86)="",INDEX($D$2:$D$150,MATCH(MAX(COUNTIF($D$2:$D$150,$D$2:$D$150)),COUNTIF($D$2:$D$150,$D$2:$D$150),0)),D86)</f>
        <v>India</v>
      </c>
      <c r="N86" s="9">
        <f t="shared" si="8"/>
        <v>35163</v>
      </c>
      <c r="O86" s="10">
        <f t="shared" si="9"/>
        <v>42603</v>
      </c>
      <c r="P86" s="9">
        <f t="shared" si="10"/>
        <v>5</v>
      </c>
      <c r="Q86" s="5" t="str">
        <f t="shared" si="11"/>
        <v>user197@example.com</v>
      </c>
    </row>
    <row r="87" spans="1:17" x14ac:dyDescent="0.35">
      <c r="A87" s="6" t="s">
        <v>95</v>
      </c>
      <c r="B87" s="6" t="s">
        <v>164</v>
      </c>
      <c r="C87" s="6" t="s">
        <v>169</v>
      </c>
      <c r="D87" s="6" t="s">
        <v>174</v>
      </c>
      <c r="E87" s="6">
        <v>33483</v>
      </c>
      <c r="F87" s="8">
        <v>42610</v>
      </c>
      <c r="G87" s="6">
        <v>4</v>
      </c>
      <c r="H87" s="2" t="s">
        <v>180</v>
      </c>
      <c r="I87" s="6" t="s">
        <v>250</v>
      </c>
      <c r="J87" s="6" t="str">
        <f t="shared" si="6"/>
        <v>Male</v>
      </c>
      <c r="K87" s="5" t="str">
        <f t="shared" si="7"/>
        <v>Chris Lee</v>
      </c>
      <c r="L87" s="5" t="str" cm="1">
        <f t="array" ref="L87">IF(TRIM(C87)="",INDEX($C$2:$C$150,MATCH(MAX(COUNTIF($C$2:$C$150, $C$2:$C$150)), COUNTIF($C$2:$C$150, $C$2:$C$150), 0)),C87)</f>
        <v>IT</v>
      </c>
      <c r="M87" t="str" cm="1">
        <f t="array" ref="M87">IF(TRIM(D87)="",INDEX($D$2:$D$150,MATCH(MAX(COUNTIF($D$2:$D$150,$D$2:$D$150)),COUNTIF($D$2:$D$150,$D$2:$D$150),0)),D87)</f>
        <v>India</v>
      </c>
      <c r="N87" s="9">
        <f t="shared" si="8"/>
        <v>33483</v>
      </c>
      <c r="O87" s="10">
        <f t="shared" si="9"/>
        <v>42610</v>
      </c>
      <c r="P87" s="9">
        <f t="shared" si="10"/>
        <v>4</v>
      </c>
      <c r="Q87" s="5" t="str">
        <f t="shared" si="11"/>
        <v>user177@example.com</v>
      </c>
    </row>
    <row r="88" spans="1:17" x14ac:dyDescent="0.35">
      <c r="A88" s="6" t="s">
        <v>96</v>
      </c>
      <c r="B88" s="6" t="s">
        <v>163</v>
      </c>
      <c r="C88" s="6" t="s">
        <v>167</v>
      </c>
      <c r="D88" s="6" t="s">
        <v>172</v>
      </c>
      <c r="E88" s="6">
        <v>55303</v>
      </c>
      <c r="F88" s="8">
        <v>42617</v>
      </c>
      <c r="G88" s="6">
        <v>4</v>
      </c>
      <c r="H88" s="2" t="s">
        <v>180</v>
      </c>
      <c r="I88" s="6" t="s">
        <v>203</v>
      </c>
      <c r="J88" s="6" t="str">
        <f t="shared" si="6"/>
        <v>Male</v>
      </c>
      <c r="K88" s="5" t="str">
        <f t="shared" si="7"/>
        <v>Sam Wilson</v>
      </c>
      <c r="L88" s="5" t="str" cm="1">
        <f t="array" ref="L88">IF(TRIM(C88)="",INDEX($C$2:$C$150,MATCH(MAX(COUNTIF($C$2:$C$150, $C$2:$C$150)), COUNTIF($C$2:$C$150, $C$2:$C$150), 0)),C88)</f>
        <v>HR</v>
      </c>
      <c r="M88" t="str" cm="1">
        <f t="array" ref="M88">IF(TRIM(D88)="",INDEX($D$2:$D$150,MATCH(MAX(COUNTIF($D$2:$D$150,$D$2:$D$150)),COUNTIF($D$2:$D$150,$D$2:$D$150),0)),D88)</f>
        <v>Germany</v>
      </c>
      <c r="N88" s="9">
        <f t="shared" si="8"/>
        <v>55303</v>
      </c>
      <c r="O88" s="10">
        <f t="shared" si="9"/>
        <v>42617</v>
      </c>
      <c r="P88" s="9">
        <f t="shared" si="10"/>
        <v>4</v>
      </c>
      <c r="Q88" s="5" t="str">
        <f t="shared" si="11"/>
        <v>user149@example.com</v>
      </c>
    </row>
    <row r="89" spans="1:17" x14ac:dyDescent="0.35">
      <c r="A89" s="6" t="s">
        <v>97</v>
      </c>
      <c r="B89" s="6" t="s">
        <v>164</v>
      </c>
      <c r="C89" s="6" t="s">
        <v>169</v>
      </c>
      <c r="E89" s="6">
        <v>63434</v>
      </c>
      <c r="F89" s="8">
        <v>42624</v>
      </c>
      <c r="G89" s="6">
        <v>3</v>
      </c>
      <c r="H89" s="2" t="s">
        <v>181</v>
      </c>
      <c r="I89" s="6" t="s">
        <v>251</v>
      </c>
      <c r="J89" s="6" t="str">
        <f t="shared" si="6"/>
        <v>Female</v>
      </c>
      <c r="K89" s="5" t="str">
        <f t="shared" si="7"/>
        <v>Chris Lee</v>
      </c>
      <c r="L89" s="5" t="str" cm="1">
        <f t="array" ref="L89">IF(TRIM(C89)="",INDEX($C$2:$C$150,MATCH(MAX(COUNTIF($C$2:$C$150, $C$2:$C$150)), COUNTIF($C$2:$C$150, $C$2:$C$150), 0)),C89)</f>
        <v>IT</v>
      </c>
      <c r="M89" t="str" cm="1">
        <f t="array" ref="M89">IF(TRIM(D89)="",INDEX($D$2:$D$150,MATCH(MAX(COUNTIF($D$2:$D$150,$D$2:$D$150)),COUNTIF($D$2:$D$150,$D$2:$D$150),0)),D89)</f>
        <v>India</v>
      </c>
      <c r="N89" s="9">
        <f t="shared" si="8"/>
        <v>63434</v>
      </c>
      <c r="O89" s="10">
        <f t="shared" si="9"/>
        <v>42624</v>
      </c>
      <c r="P89" s="9">
        <f t="shared" si="10"/>
        <v>3</v>
      </c>
      <c r="Q89" s="5" t="str">
        <f t="shared" si="11"/>
        <v>user48@example.com</v>
      </c>
    </row>
    <row r="90" spans="1:17" x14ac:dyDescent="0.35">
      <c r="A90" s="6" t="s">
        <v>98</v>
      </c>
      <c r="B90" s="6" t="s">
        <v>162</v>
      </c>
      <c r="D90" s="6" t="s">
        <v>176</v>
      </c>
      <c r="E90" s="6">
        <v>38830</v>
      </c>
      <c r="F90" s="8">
        <v>42631</v>
      </c>
      <c r="G90" s="6">
        <v>3</v>
      </c>
      <c r="H90" s="2" t="s">
        <v>181</v>
      </c>
      <c r="I90" s="6" t="s">
        <v>203</v>
      </c>
      <c r="J90" s="6" t="str">
        <f t="shared" si="6"/>
        <v>Female</v>
      </c>
      <c r="K90" s="5" t="str">
        <f t="shared" si="7"/>
        <v>Jane Smith</v>
      </c>
      <c r="L90" s="5" t="str" cm="1">
        <f t="array" ref="L90">IF(TRIM(C90)="",INDEX($C$2:$C$150,MATCH(MAX(COUNTIF($C$2:$C$150, $C$2:$C$150)), COUNTIF($C$2:$C$150, $C$2:$C$150), 0)),C90)</f>
        <v>Marketing</v>
      </c>
      <c r="M90" t="str" cm="1">
        <f t="array" ref="M90">IF(TRIM(D90)="",INDEX($D$2:$D$150,MATCH(MAX(COUNTIF($D$2:$D$150,$D$2:$D$150)),COUNTIF($D$2:$D$150,$D$2:$D$150),0)),D90)</f>
        <v>Australia</v>
      </c>
      <c r="N90" s="9">
        <f t="shared" si="8"/>
        <v>38830</v>
      </c>
      <c r="O90" s="10">
        <f t="shared" si="9"/>
        <v>42631</v>
      </c>
      <c r="P90" s="9">
        <f t="shared" si="10"/>
        <v>3</v>
      </c>
      <c r="Q90" s="5" t="str">
        <f t="shared" si="11"/>
        <v>user149@example.com</v>
      </c>
    </row>
    <row r="91" spans="1:17" x14ac:dyDescent="0.35">
      <c r="A91" s="6" t="s">
        <v>99</v>
      </c>
      <c r="B91" s="6" t="s">
        <v>281</v>
      </c>
      <c r="C91" s="6" t="s">
        <v>170</v>
      </c>
      <c r="D91" s="6" t="s">
        <v>175</v>
      </c>
      <c r="E91" s="6">
        <v>50741</v>
      </c>
      <c r="F91" s="8">
        <v>42638</v>
      </c>
      <c r="G91" s="6">
        <v>3</v>
      </c>
      <c r="H91" s="2" t="s">
        <v>178</v>
      </c>
      <c r="I91" s="6" t="s">
        <v>240</v>
      </c>
      <c r="J91" s="6" t="str">
        <f t="shared" si="6"/>
        <v>Unknown</v>
      </c>
      <c r="K91" s="5" t="str">
        <f t="shared" si="7"/>
        <v>Unknown</v>
      </c>
      <c r="L91" s="5" t="str" cm="1">
        <f t="array" ref="L91">IF(TRIM(C91)="",INDEX($C$2:$C$150,MATCH(MAX(COUNTIF($C$2:$C$150, $C$2:$C$150)), COUNTIF($C$2:$C$150, $C$2:$C$150), 0)),C91)</f>
        <v>Marketing</v>
      </c>
      <c r="M91" t="str" cm="1">
        <f t="array" ref="M91">IF(TRIM(D91)="",INDEX($D$2:$D$150,MATCH(MAX(COUNTIF($D$2:$D$150,$D$2:$D$150)),COUNTIF($D$2:$D$150,$D$2:$D$150),0)),D91)</f>
        <v>UK</v>
      </c>
      <c r="N91" s="9">
        <f t="shared" si="8"/>
        <v>50741</v>
      </c>
      <c r="O91" s="10">
        <f t="shared" si="9"/>
        <v>42638</v>
      </c>
      <c r="P91" s="9">
        <f t="shared" si="10"/>
        <v>3</v>
      </c>
      <c r="Q91" s="5" t="str">
        <f t="shared" si="11"/>
        <v>user65@example.com</v>
      </c>
    </row>
    <row r="92" spans="1:17" x14ac:dyDescent="0.35">
      <c r="A92" s="6" t="s">
        <v>100</v>
      </c>
      <c r="B92" s="6" t="s">
        <v>160</v>
      </c>
      <c r="C92" s="6" t="s">
        <v>167</v>
      </c>
      <c r="D92" s="6" t="s">
        <v>176</v>
      </c>
      <c r="E92" s="6">
        <v>69420</v>
      </c>
      <c r="F92" s="8">
        <v>42645</v>
      </c>
      <c r="G92" s="6">
        <v>1</v>
      </c>
      <c r="H92" s="2" t="s">
        <v>181</v>
      </c>
      <c r="I92" s="6" t="s">
        <v>225</v>
      </c>
      <c r="J92" s="6" t="str">
        <f t="shared" si="6"/>
        <v>Female</v>
      </c>
      <c r="K92" s="5" t="str">
        <f t="shared" si="7"/>
        <v>Alice Brown</v>
      </c>
      <c r="L92" s="5" t="str" cm="1">
        <f t="array" ref="L92">IF(TRIM(C92)="",INDEX($C$2:$C$150,MATCH(MAX(COUNTIF($C$2:$C$150, $C$2:$C$150)), COUNTIF($C$2:$C$150, $C$2:$C$150), 0)),C92)</f>
        <v>HR</v>
      </c>
      <c r="M92" t="str" cm="1">
        <f t="array" ref="M92">IF(TRIM(D92)="",INDEX($D$2:$D$150,MATCH(MAX(COUNTIF($D$2:$D$150,$D$2:$D$150)),COUNTIF($D$2:$D$150,$D$2:$D$150),0)),D92)</f>
        <v>Australia</v>
      </c>
      <c r="N92" s="9">
        <f t="shared" si="8"/>
        <v>69420</v>
      </c>
      <c r="O92" s="10">
        <f t="shared" si="9"/>
        <v>42645</v>
      </c>
      <c r="P92" s="9">
        <f t="shared" si="10"/>
        <v>1</v>
      </c>
      <c r="Q92" s="5" t="str">
        <f t="shared" si="11"/>
        <v>user43@example.com</v>
      </c>
    </row>
    <row r="93" spans="1:17" x14ac:dyDescent="0.35">
      <c r="A93" s="6" t="s">
        <v>101</v>
      </c>
      <c r="B93" s="6" t="s">
        <v>162</v>
      </c>
      <c r="C93" s="6" t="s">
        <v>169</v>
      </c>
      <c r="E93" s="6">
        <v>80588</v>
      </c>
      <c r="F93" s="8">
        <v>42652</v>
      </c>
      <c r="G93" s="6">
        <v>5</v>
      </c>
      <c r="H93" s="2" t="s">
        <v>181</v>
      </c>
      <c r="I93" s="6" t="s">
        <v>216</v>
      </c>
      <c r="J93" s="6" t="str">
        <f t="shared" si="6"/>
        <v>Female</v>
      </c>
      <c r="K93" s="5" t="str">
        <f t="shared" si="7"/>
        <v>Jane Smith</v>
      </c>
      <c r="L93" s="5" t="str" cm="1">
        <f t="array" ref="L93">IF(TRIM(C93)="",INDEX($C$2:$C$150,MATCH(MAX(COUNTIF($C$2:$C$150, $C$2:$C$150)), COUNTIF($C$2:$C$150, $C$2:$C$150), 0)),C93)</f>
        <v>IT</v>
      </c>
      <c r="M93" t="str" cm="1">
        <f t="array" ref="M93">IF(TRIM(D93)="",INDEX($D$2:$D$150,MATCH(MAX(COUNTIF($D$2:$D$150,$D$2:$D$150)),COUNTIF($D$2:$D$150,$D$2:$D$150),0)),D93)</f>
        <v>India</v>
      </c>
      <c r="N93" s="9">
        <f t="shared" si="8"/>
        <v>80588</v>
      </c>
      <c r="O93" s="10">
        <f t="shared" si="9"/>
        <v>42652</v>
      </c>
      <c r="P93" s="9">
        <f t="shared" si="10"/>
        <v>5</v>
      </c>
      <c r="Q93" s="5" t="str">
        <f t="shared" si="11"/>
        <v>user98@example.com</v>
      </c>
    </row>
    <row r="94" spans="1:17" x14ac:dyDescent="0.35">
      <c r="A94" s="6" t="s">
        <v>102</v>
      </c>
      <c r="B94" s="6" t="s">
        <v>160</v>
      </c>
      <c r="D94" s="6" t="s">
        <v>173</v>
      </c>
      <c r="E94" s="6">
        <v>76238</v>
      </c>
      <c r="F94" s="8">
        <v>42659</v>
      </c>
      <c r="G94" s="6">
        <v>4</v>
      </c>
      <c r="H94" s="2" t="s">
        <v>181</v>
      </c>
      <c r="I94" s="6" t="s">
        <v>252</v>
      </c>
      <c r="J94" s="6" t="str">
        <f t="shared" si="6"/>
        <v>Female</v>
      </c>
      <c r="K94" s="5" t="str">
        <f t="shared" si="7"/>
        <v>Alice Brown</v>
      </c>
      <c r="L94" s="5" t="str" cm="1">
        <f t="array" ref="L94">IF(TRIM(C94)="",INDEX($C$2:$C$150,MATCH(MAX(COUNTIF($C$2:$C$150, $C$2:$C$150)), COUNTIF($C$2:$C$150, $C$2:$C$150), 0)),C94)</f>
        <v>Marketing</v>
      </c>
      <c r="M94" t="str" cm="1">
        <f t="array" ref="M94">IF(TRIM(D94)="",INDEX($D$2:$D$150,MATCH(MAX(COUNTIF($D$2:$D$150,$D$2:$D$150)),COUNTIF($D$2:$D$150,$D$2:$D$150),0)),D94)</f>
        <v>USA</v>
      </c>
      <c r="N94" s="9">
        <f t="shared" si="8"/>
        <v>76238</v>
      </c>
      <c r="O94" s="10">
        <f t="shared" si="9"/>
        <v>42659</v>
      </c>
      <c r="P94" s="9">
        <f t="shared" si="10"/>
        <v>4</v>
      </c>
      <c r="Q94" s="5" t="str">
        <f t="shared" si="11"/>
        <v>user102@example.com</v>
      </c>
    </row>
    <row r="95" spans="1:17" x14ac:dyDescent="0.35">
      <c r="A95" s="6" t="s">
        <v>103</v>
      </c>
      <c r="B95" s="6" t="s">
        <v>165</v>
      </c>
      <c r="C95" s="6" t="s">
        <v>169</v>
      </c>
      <c r="D95" s="6" t="s">
        <v>174</v>
      </c>
      <c r="E95" s="6">
        <v>33264</v>
      </c>
      <c r="F95" s="8">
        <v>42666</v>
      </c>
      <c r="H95" s="2" t="s">
        <v>180</v>
      </c>
      <c r="I95" s="6" t="s">
        <v>253</v>
      </c>
      <c r="J95" s="6" t="str">
        <f t="shared" si="6"/>
        <v>Male</v>
      </c>
      <c r="K95" s="5" t="str">
        <f t="shared" si="7"/>
        <v>Bob Johnson</v>
      </c>
      <c r="L95" s="5" t="str" cm="1">
        <f t="array" ref="L95">IF(TRIM(C95)="",INDEX($C$2:$C$150,MATCH(MAX(COUNTIF($C$2:$C$150, $C$2:$C$150)), COUNTIF($C$2:$C$150, $C$2:$C$150), 0)),C95)</f>
        <v>IT</v>
      </c>
      <c r="M95" t="str" cm="1">
        <f t="array" ref="M95">IF(TRIM(D95)="",INDEX($D$2:$D$150,MATCH(MAX(COUNTIF($D$2:$D$150,$D$2:$D$150)),COUNTIF($D$2:$D$150,$D$2:$D$150),0)),D95)</f>
        <v>India</v>
      </c>
      <c r="N95" s="9">
        <f t="shared" si="8"/>
        <v>33264</v>
      </c>
      <c r="O95" s="10">
        <f t="shared" si="9"/>
        <v>42666</v>
      </c>
      <c r="P95" s="9">
        <f t="shared" si="10"/>
        <v>2.879032258064516</v>
      </c>
      <c r="Q95" s="5" t="str">
        <f t="shared" si="11"/>
        <v>user148@example.com</v>
      </c>
    </row>
    <row r="96" spans="1:17" x14ac:dyDescent="0.35">
      <c r="A96" s="6" t="s">
        <v>104</v>
      </c>
      <c r="B96" s="6" t="s">
        <v>160</v>
      </c>
      <c r="C96" s="6" t="s">
        <v>166</v>
      </c>
      <c r="D96" s="6" t="s">
        <v>176</v>
      </c>
      <c r="E96" s="6">
        <v>96101</v>
      </c>
      <c r="F96" s="8">
        <v>42673</v>
      </c>
      <c r="H96" s="2" t="s">
        <v>181</v>
      </c>
      <c r="I96" s="6" t="s">
        <v>254</v>
      </c>
      <c r="J96" s="6" t="str">
        <f t="shared" si="6"/>
        <v>Female</v>
      </c>
      <c r="K96" s="5" t="str">
        <f t="shared" si="7"/>
        <v>Alice Brown</v>
      </c>
      <c r="L96" s="5" t="str" cm="1">
        <f t="array" ref="L96">IF(TRIM(C96)="",INDEX($C$2:$C$150,MATCH(MAX(COUNTIF($C$2:$C$150, $C$2:$C$150)), COUNTIF($C$2:$C$150, $C$2:$C$150), 0)),C96)</f>
        <v>Finance</v>
      </c>
      <c r="M96" t="str" cm="1">
        <f t="array" ref="M96">IF(TRIM(D96)="",INDEX($D$2:$D$150,MATCH(MAX(COUNTIF($D$2:$D$150,$D$2:$D$150)),COUNTIF($D$2:$D$150,$D$2:$D$150),0)),D96)</f>
        <v>Australia</v>
      </c>
      <c r="N96" s="9">
        <f t="shared" si="8"/>
        <v>96101</v>
      </c>
      <c r="O96" s="10">
        <f t="shared" si="9"/>
        <v>42673</v>
      </c>
      <c r="P96" s="9">
        <f t="shared" si="10"/>
        <v>2.879032258064516</v>
      </c>
      <c r="Q96" s="5" t="str">
        <f t="shared" si="11"/>
        <v>user155@example.com</v>
      </c>
    </row>
    <row r="97" spans="1:17" x14ac:dyDescent="0.35">
      <c r="A97" s="6" t="s">
        <v>105</v>
      </c>
      <c r="B97" s="6" t="s">
        <v>162</v>
      </c>
      <c r="C97" s="6" t="s">
        <v>166</v>
      </c>
      <c r="D97" s="6" t="s">
        <v>173</v>
      </c>
      <c r="E97" s="6">
        <v>72939</v>
      </c>
      <c r="F97" s="8">
        <v>42680</v>
      </c>
      <c r="G97" s="6">
        <v>3</v>
      </c>
      <c r="H97" s="2" t="s">
        <v>181</v>
      </c>
      <c r="I97" s="6" t="s">
        <v>255</v>
      </c>
      <c r="J97" s="6" t="str">
        <f t="shared" si="6"/>
        <v>Female</v>
      </c>
      <c r="K97" s="5" t="str">
        <f t="shared" si="7"/>
        <v>Jane Smith</v>
      </c>
      <c r="L97" s="5" t="str" cm="1">
        <f t="array" ref="L97">IF(TRIM(C97)="",INDEX($C$2:$C$150,MATCH(MAX(COUNTIF($C$2:$C$150, $C$2:$C$150)), COUNTIF($C$2:$C$150, $C$2:$C$150), 0)),C97)</f>
        <v>Finance</v>
      </c>
      <c r="M97" t="str" cm="1">
        <f t="array" ref="M97">IF(TRIM(D97)="",INDEX($D$2:$D$150,MATCH(MAX(COUNTIF($D$2:$D$150,$D$2:$D$150)),COUNTIF($D$2:$D$150,$D$2:$D$150),0)),D97)</f>
        <v>USA</v>
      </c>
      <c r="N97" s="9">
        <f t="shared" si="8"/>
        <v>72939</v>
      </c>
      <c r="O97" s="10">
        <f t="shared" si="9"/>
        <v>42680</v>
      </c>
      <c r="P97" s="9">
        <f t="shared" si="10"/>
        <v>3</v>
      </c>
      <c r="Q97" s="5" t="str">
        <f t="shared" si="11"/>
        <v>user191@example.com</v>
      </c>
    </row>
    <row r="98" spans="1:17" x14ac:dyDescent="0.35">
      <c r="A98" s="6" t="s">
        <v>106</v>
      </c>
      <c r="B98" s="6" t="s">
        <v>163</v>
      </c>
      <c r="C98" s="6" t="s">
        <v>167</v>
      </c>
      <c r="D98" s="6" t="s">
        <v>172</v>
      </c>
      <c r="E98" s="6">
        <v>89333</v>
      </c>
      <c r="F98" s="8">
        <v>42687</v>
      </c>
      <c r="G98" s="6">
        <v>1</v>
      </c>
      <c r="H98" s="2" t="s">
        <v>180</v>
      </c>
      <c r="I98" s="6" t="s">
        <v>256</v>
      </c>
      <c r="J98" s="6" t="str">
        <f t="shared" si="6"/>
        <v>Male</v>
      </c>
      <c r="K98" s="5" t="str">
        <f t="shared" si="7"/>
        <v>Sam Wilson</v>
      </c>
      <c r="L98" s="5" t="str" cm="1">
        <f t="array" ref="L98">IF(TRIM(C98)="",INDEX($C$2:$C$150,MATCH(MAX(COUNTIF($C$2:$C$150, $C$2:$C$150)), COUNTIF($C$2:$C$150, $C$2:$C$150), 0)),C98)</f>
        <v>HR</v>
      </c>
      <c r="M98" t="str" cm="1">
        <f t="array" ref="M98">IF(TRIM(D98)="",INDEX($D$2:$D$150,MATCH(MAX(COUNTIF($D$2:$D$150,$D$2:$D$150)),COUNTIF($D$2:$D$150,$D$2:$D$150),0)),D98)</f>
        <v>Germany</v>
      </c>
      <c r="N98" s="9">
        <f t="shared" si="8"/>
        <v>89333</v>
      </c>
      <c r="O98" s="10">
        <f t="shared" si="9"/>
        <v>42687</v>
      </c>
      <c r="P98" s="9">
        <f t="shared" si="10"/>
        <v>1</v>
      </c>
      <c r="Q98" s="5" t="str">
        <f t="shared" si="11"/>
        <v>user113@example.com</v>
      </c>
    </row>
    <row r="99" spans="1:17" x14ac:dyDescent="0.35">
      <c r="A99" s="6" t="s">
        <v>107</v>
      </c>
      <c r="B99" s="6" t="s">
        <v>165</v>
      </c>
      <c r="C99" s="6" t="s">
        <v>169</v>
      </c>
      <c r="D99" s="6" t="s">
        <v>176</v>
      </c>
      <c r="E99" s="6">
        <v>70470</v>
      </c>
      <c r="F99" s="8">
        <v>42694</v>
      </c>
      <c r="H99" s="2" t="s">
        <v>180</v>
      </c>
      <c r="I99" s="6" t="s">
        <v>257</v>
      </c>
      <c r="J99" s="6" t="str">
        <f t="shared" si="6"/>
        <v>Male</v>
      </c>
      <c r="K99" s="5" t="str">
        <f t="shared" si="7"/>
        <v>Bob Johnson</v>
      </c>
      <c r="L99" s="5" t="str" cm="1">
        <f t="array" ref="L99">IF(TRIM(C99)="",INDEX($C$2:$C$150,MATCH(MAX(COUNTIF($C$2:$C$150, $C$2:$C$150)), COUNTIF($C$2:$C$150, $C$2:$C$150), 0)),C99)</f>
        <v>IT</v>
      </c>
      <c r="M99" t="str" cm="1">
        <f t="array" ref="M99">IF(TRIM(D99)="",INDEX($D$2:$D$150,MATCH(MAX(COUNTIF($D$2:$D$150,$D$2:$D$150)),COUNTIF($D$2:$D$150,$D$2:$D$150),0)),D99)</f>
        <v>Australia</v>
      </c>
      <c r="N99" s="9">
        <f t="shared" si="8"/>
        <v>70470</v>
      </c>
      <c r="O99" s="10">
        <f t="shared" si="9"/>
        <v>42694</v>
      </c>
      <c r="P99" s="9">
        <f t="shared" si="10"/>
        <v>2.879032258064516</v>
      </c>
      <c r="Q99" s="5" t="str">
        <f t="shared" si="11"/>
        <v>user62@example.com</v>
      </c>
    </row>
    <row r="100" spans="1:17" x14ac:dyDescent="0.35">
      <c r="A100" s="6" t="s">
        <v>108</v>
      </c>
      <c r="B100" s="6" t="s">
        <v>159</v>
      </c>
      <c r="C100" s="6" t="s">
        <v>170</v>
      </c>
      <c r="D100" s="6" t="s">
        <v>173</v>
      </c>
      <c r="E100" s="6">
        <v>70096</v>
      </c>
      <c r="F100" s="8">
        <v>42701</v>
      </c>
      <c r="G100" s="6">
        <v>4</v>
      </c>
      <c r="H100" s="2" t="s">
        <v>181</v>
      </c>
      <c r="I100" s="6" t="s">
        <v>258</v>
      </c>
      <c r="J100" s="6" t="str">
        <f t="shared" si="6"/>
        <v>Female</v>
      </c>
      <c r="K100" s="5" t="str">
        <f t="shared" si="7"/>
        <v>Eve Adams</v>
      </c>
      <c r="L100" s="5" t="str" cm="1">
        <f t="array" ref="L100">IF(TRIM(C100)="",INDEX($C$2:$C$150,MATCH(MAX(COUNTIF($C$2:$C$150, $C$2:$C$150)), COUNTIF($C$2:$C$150, $C$2:$C$150), 0)),C100)</f>
        <v>Marketing</v>
      </c>
      <c r="M100" t="str" cm="1">
        <f t="array" ref="M100">IF(TRIM(D100)="",INDEX($D$2:$D$150,MATCH(MAX(COUNTIF($D$2:$D$150,$D$2:$D$150)),COUNTIF($D$2:$D$150,$D$2:$D$150),0)),D100)</f>
        <v>USA</v>
      </c>
      <c r="N100" s="9">
        <f t="shared" si="8"/>
        <v>70096</v>
      </c>
      <c r="O100" s="10">
        <f t="shared" si="9"/>
        <v>42701</v>
      </c>
      <c r="P100" s="9">
        <f t="shared" si="10"/>
        <v>4</v>
      </c>
      <c r="Q100" s="5" t="str">
        <f t="shared" si="11"/>
        <v>user76@example.com</v>
      </c>
    </row>
    <row r="101" spans="1:17" x14ac:dyDescent="0.35">
      <c r="A101" s="6" t="s">
        <v>109</v>
      </c>
      <c r="B101" s="6" t="s">
        <v>165</v>
      </c>
      <c r="C101" s="6" t="s">
        <v>170</v>
      </c>
      <c r="D101" s="6" t="s">
        <v>171</v>
      </c>
      <c r="E101" s="6" t="s">
        <v>177</v>
      </c>
      <c r="F101" s="8">
        <v>42708</v>
      </c>
      <c r="G101" s="6">
        <v>2</v>
      </c>
      <c r="H101" s="2" t="s">
        <v>180</v>
      </c>
      <c r="I101" s="6" t="s">
        <v>259</v>
      </c>
      <c r="J101" s="6" t="str">
        <f t="shared" si="6"/>
        <v>Male</v>
      </c>
      <c r="K101" s="5" t="str">
        <f t="shared" si="7"/>
        <v>Bob Johnson</v>
      </c>
      <c r="L101" s="5" t="str" cm="1">
        <f t="array" ref="L101">IF(TRIM(C101)="",INDEX($C$2:$C$150,MATCH(MAX(COUNTIF($C$2:$C$150, $C$2:$C$150)), COUNTIF($C$2:$C$150, $C$2:$C$150), 0)),C101)</f>
        <v>Marketing</v>
      </c>
      <c r="M101" t="str" cm="1">
        <f t="array" ref="M101">IF(TRIM(D101)="",INDEX($D$2:$D$150,MATCH(MAX(COUNTIF($D$2:$D$150,$D$2:$D$150)),COUNTIF($D$2:$D$150,$D$2:$D$150),0)),D101)</f>
        <v>India</v>
      </c>
      <c r="N101" s="9">
        <f t="shared" si="8"/>
        <v>66280.929577464791</v>
      </c>
      <c r="O101" s="10">
        <f t="shared" si="9"/>
        <v>42708</v>
      </c>
      <c r="P101" s="9">
        <f t="shared" si="10"/>
        <v>2</v>
      </c>
      <c r="Q101" s="5" t="str">
        <f t="shared" si="11"/>
        <v>user40@example.com</v>
      </c>
    </row>
    <row r="102" spans="1:17" x14ac:dyDescent="0.35">
      <c r="A102" s="6" t="s">
        <v>110</v>
      </c>
      <c r="B102" s="6" t="s">
        <v>165</v>
      </c>
      <c r="C102" s="6" t="s">
        <v>169</v>
      </c>
      <c r="D102" s="6" t="s">
        <v>172</v>
      </c>
      <c r="E102" s="6">
        <v>66503</v>
      </c>
      <c r="F102" s="8">
        <v>42715</v>
      </c>
      <c r="H102" s="2" t="s">
        <v>180</v>
      </c>
      <c r="I102" s="6" t="s">
        <v>200</v>
      </c>
      <c r="J102" s="6" t="str">
        <f t="shared" si="6"/>
        <v>Male</v>
      </c>
      <c r="K102" s="5" t="str">
        <f t="shared" si="7"/>
        <v>Bob Johnson</v>
      </c>
      <c r="L102" s="5" t="str" cm="1">
        <f t="array" ref="L102">IF(TRIM(C102)="",INDEX($C$2:$C$150,MATCH(MAX(COUNTIF($C$2:$C$150, $C$2:$C$150)), COUNTIF($C$2:$C$150, $C$2:$C$150), 0)),C102)</f>
        <v>IT</v>
      </c>
      <c r="M102" t="str" cm="1">
        <f t="array" ref="M102">IF(TRIM(D102)="",INDEX($D$2:$D$150,MATCH(MAX(COUNTIF($D$2:$D$150,$D$2:$D$150)),COUNTIF($D$2:$D$150,$D$2:$D$150),0)),D102)</f>
        <v>Germany</v>
      </c>
      <c r="N102" s="9">
        <f t="shared" si="8"/>
        <v>66503</v>
      </c>
      <c r="O102" s="10">
        <f t="shared" si="9"/>
        <v>42715</v>
      </c>
      <c r="P102" s="9">
        <f t="shared" si="10"/>
        <v>2.879032258064516</v>
      </c>
      <c r="Q102" s="5" t="str">
        <f t="shared" si="11"/>
        <v>user200@example.com</v>
      </c>
    </row>
    <row r="103" spans="1:17" x14ac:dyDescent="0.35">
      <c r="A103" s="6" t="s">
        <v>111</v>
      </c>
      <c r="B103" s="6" t="s">
        <v>160</v>
      </c>
      <c r="C103" s="6" t="s">
        <v>167</v>
      </c>
      <c r="D103" s="6" t="s">
        <v>172</v>
      </c>
      <c r="E103" s="6">
        <v>42096</v>
      </c>
      <c r="F103" s="8">
        <v>42722</v>
      </c>
      <c r="H103" s="2" t="s">
        <v>181</v>
      </c>
      <c r="I103" s="6" t="s">
        <v>260</v>
      </c>
      <c r="J103" s="6" t="str">
        <f t="shared" si="6"/>
        <v>Female</v>
      </c>
      <c r="K103" s="5" t="str">
        <f t="shared" si="7"/>
        <v>Alice Brown</v>
      </c>
      <c r="L103" s="5" t="str" cm="1">
        <f t="array" ref="L103">IF(TRIM(C103)="",INDEX($C$2:$C$150,MATCH(MAX(COUNTIF($C$2:$C$150, $C$2:$C$150)), COUNTIF($C$2:$C$150, $C$2:$C$150), 0)),C103)</f>
        <v>HR</v>
      </c>
      <c r="M103" t="str" cm="1">
        <f t="array" ref="M103">IF(TRIM(D103)="",INDEX($D$2:$D$150,MATCH(MAX(COUNTIF($D$2:$D$150,$D$2:$D$150)),COUNTIF($D$2:$D$150,$D$2:$D$150),0)),D103)</f>
        <v>Germany</v>
      </c>
      <c r="N103" s="9">
        <f t="shared" si="8"/>
        <v>42096</v>
      </c>
      <c r="O103" s="10">
        <f t="shared" si="9"/>
        <v>42722</v>
      </c>
      <c r="P103" s="9">
        <f t="shared" si="10"/>
        <v>2.879032258064516</v>
      </c>
      <c r="Q103" s="5" t="str">
        <f t="shared" si="11"/>
        <v>user54@example.com</v>
      </c>
    </row>
    <row r="104" spans="1:17" x14ac:dyDescent="0.35">
      <c r="A104" s="6" t="s">
        <v>112</v>
      </c>
      <c r="B104" s="6" t="s">
        <v>160</v>
      </c>
      <c r="C104" s="6" t="s">
        <v>170</v>
      </c>
      <c r="E104" s="6">
        <v>79145</v>
      </c>
      <c r="F104" s="8">
        <v>42729</v>
      </c>
      <c r="G104" s="6">
        <v>5</v>
      </c>
      <c r="H104" s="2" t="s">
        <v>181</v>
      </c>
      <c r="I104" s="6" t="s">
        <v>223</v>
      </c>
      <c r="J104" s="6" t="str">
        <f t="shared" si="6"/>
        <v>Female</v>
      </c>
      <c r="K104" s="5" t="str">
        <f t="shared" si="7"/>
        <v>Alice Brown</v>
      </c>
      <c r="L104" s="5" t="str" cm="1">
        <f t="array" ref="L104">IF(TRIM(C104)="",INDEX($C$2:$C$150,MATCH(MAX(COUNTIF($C$2:$C$150, $C$2:$C$150)), COUNTIF($C$2:$C$150, $C$2:$C$150), 0)),C104)</f>
        <v>Marketing</v>
      </c>
      <c r="M104" t="str" cm="1">
        <f t="array" ref="M104">IF(TRIM(D104)="",INDEX($D$2:$D$150,MATCH(MAX(COUNTIF($D$2:$D$150,$D$2:$D$150)),COUNTIF($D$2:$D$150,$D$2:$D$150),0)),D104)</f>
        <v>India</v>
      </c>
      <c r="N104" s="9">
        <f t="shared" si="8"/>
        <v>79145</v>
      </c>
      <c r="O104" s="10">
        <f t="shared" si="9"/>
        <v>42729</v>
      </c>
      <c r="P104" s="9">
        <f t="shared" si="10"/>
        <v>5</v>
      </c>
      <c r="Q104" s="5" t="str">
        <f t="shared" si="11"/>
        <v>user20@example.com</v>
      </c>
    </row>
    <row r="105" spans="1:17" x14ac:dyDescent="0.35">
      <c r="A105" s="6" t="s">
        <v>113</v>
      </c>
      <c r="B105" s="6" t="s">
        <v>162</v>
      </c>
      <c r="D105" s="6" t="s">
        <v>176</v>
      </c>
      <c r="E105" s="6">
        <v>61556</v>
      </c>
      <c r="F105" s="8">
        <v>42736</v>
      </c>
      <c r="G105" s="6">
        <v>1</v>
      </c>
      <c r="H105" s="2" t="s">
        <v>181</v>
      </c>
      <c r="I105" s="6" t="s">
        <v>259</v>
      </c>
      <c r="J105" s="6" t="str">
        <f t="shared" si="6"/>
        <v>Female</v>
      </c>
      <c r="K105" s="5" t="str">
        <f t="shared" si="7"/>
        <v>Jane Smith</v>
      </c>
      <c r="L105" s="5" t="str" cm="1">
        <f t="array" ref="L105">IF(TRIM(C105)="",INDEX($C$2:$C$150,MATCH(MAX(COUNTIF($C$2:$C$150, $C$2:$C$150)), COUNTIF($C$2:$C$150, $C$2:$C$150), 0)),C105)</f>
        <v>Marketing</v>
      </c>
      <c r="M105" t="str" cm="1">
        <f t="array" ref="M105">IF(TRIM(D105)="",INDEX($D$2:$D$150,MATCH(MAX(COUNTIF($D$2:$D$150,$D$2:$D$150)),COUNTIF($D$2:$D$150,$D$2:$D$150),0)),D105)</f>
        <v>Australia</v>
      </c>
      <c r="N105" s="9">
        <f t="shared" si="8"/>
        <v>61556</v>
      </c>
      <c r="O105" s="10">
        <f t="shared" si="9"/>
        <v>42736</v>
      </c>
      <c r="P105" s="9">
        <f t="shared" si="10"/>
        <v>1</v>
      </c>
      <c r="Q105" s="5" t="str">
        <f t="shared" si="11"/>
        <v>user40@example.com</v>
      </c>
    </row>
    <row r="106" spans="1:17" x14ac:dyDescent="0.35">
      <c r="A106" s="6" t="s">
        <v>114</v>
      </c>
      <c r="B106" s="6" t="s">
        <v>281</v>
      </c>
      <c r="C106" s="6" t="s">
        <v>167</v>
      </c>
      <c r="D106" s="6" t="s">
        <v>175</v>
      </c>
      <c r="E106" s="6">
        <v>87963</v>
      </c>
      <c r="F106" s="8">
        <v>42743</v>
      </c>
      <c r="G106" s="6">
        <v>3</v>
      </c>
      <c r="H106" s="2" t="s">
        <v>178</v>
      </c>
      <c r="I106" s="6" t="s">
        <v>182</v>
      </c>
      <c r="J106" s="6" t="str">
        <f t="shared" si="6"/>
        <v>Unknown</v>
      </c>
      <c r="K106" s="5" t="str">
        <f t="shared" si="7"/>
        <v>Unknown</v>
      </c>
      <c r="L106" s="5" t="str" cm="1">
        <f t="array" ref="L106">IF(TRIM(C106)="",INDEX($C$2:$C$150,MATCH(MAX(COUNTIF($C$2:$C$150, $C$2:$C$150)), COUNTIF($C$2:$C$150, $C$2:$C$150), 0)),C106)</f>
        <v>HR</v>
      </c>
      <c r="M106" t="str" cm="1">
        <f t="array" ref="M106">IF(TRIM(D106)="",INDEX($D$2:$D$150,MATCH(MAX(COUNTIF($D$2:$D$150,$D$2:$D$150)),COUNTIF($D$2:$D$150,$D$2:$D$150),0)),D106)</f>
        <v>UK</v>
      </c>
      <c r="N106" s="9">
        <f t="shared" si="8"/>
        <v>87963</v>
      </c>
      <c r="O106" s="10">
        <f t="shared" si="9"/>
        <v>42743</v>
      </c>
      <c r="P106" s="9">
        <f t="shared" si="10"/>
        <v>3</v>
      </c>
      <c r="Q106" s="5" t="str">
        <f t="shared" si="11"/>
        <v>Unknown</v>
      </c>
    </row>
    <row r="107" spans="1:17" x14ac:dyDescent="0.35">
      <c r="A107" s="6" t="s">
        <v>115</v>
      </c>
      <c r="B107" s="6" t="s">
        <v>159</v>
      </c>
      <c r="C107" s="6" t="s">
        <v>169</v>
      </c>
      <c r="E107" s="6">
        <v>48325</v>
      </c>
      <c r="F107" s="8">
        <v>42750</v>
      </c>
      <c r="H107" s="2" t="s">
        <v>181</v>
      </c>
      <c r="I107" s="6" t="s">
        <v>261</v>
      </c>
      <c r="J107" s="6" t="str">
        <f t="shared" si="6"/>
        <v>Female</v>
      </c>
      <c r="K107" s="5" t="str">
        <f t="shared" si="7"/>
        <v>Eve Adams</v>
      </c>
      <c r="L107" s="5" t="str" cm="1">
        <f t="array" ref="L107">IF(TRIM(C107)="",INDEX($C$2:$C$150,MATCH(MAX(COUNTIF($C$2:$C$150, $C$2:$C$150)), COUNTIF($C$2:$C$150, $C$2:$C$150), 0)),C107)</f>
        <v>IT</v>
      </c>
      <c r="M107" t="str" cm="1">
        <f t="array" ref="M107">IF(TRIM(D107)="",INDEX($D$2:$D$150,MATCH(MAX(COUNTIF($D$2:$D$150,$D$2:$D$150)),COUNTIF($D$2:$D$150,$D$2:$D$150),0)),D107)</f>
        <v>India</v>
      </c>
      <c r="N107" s="9">
        <f t="shared" si="8"/>
        <v>48325</v>
      </c>
      <c r="O107" s="10">
        <f t="shared" si="9"/>
        <v>42750</v>
      </c>
      <c r="P107" s="9">
        <f t="shared" si="10"/>
        <v>2.879032258064516</v>
      </c>
      <c r="Q107" s="5" t="str">
        <f t="shared" si="11"/>
        <v>user189@example.com</v>
      </c>
    </row>
    <row r="108" spans="1:17" x14ac:dyDescent="0.35">
      <c r="A108" s="6" t="s">
        <v>116</v>
      </c>
      <c r="B108" s="6" t="s">
        <v>163</v>
      </c>
      <c r="C108" s="6" t="s">
        <v>170</v>
      </c>
      <c r="D108" s="6" t="s">
        <v>176</v>
      </c>
      <c r="E108" s="6">
        <v>86412</v>
      </c>
      <c r="F108" s="8">
        <v>42757</v>
      </c>
      <c r="G108" s="6">
        <v>2</v>
      </c>
      <c r="H108" s="2" t="s">
        <v>180</v>
      </c>
      <c r="I108" s="6" t="s">
        <v>202</v>
      </c>
      <c r="J108" s="6" t="str">
        <f t="shared" si="6"/>
        <v>Male</v>
      </c>
      <c r="K108" s="5" t="str">
        <f t="shared" si="7"/>
        <v>Sam Wilson</v>
      </c>
      <c r="L108" s="5" t="str" cm="1">
        <f t="array" ref="L108">IF(TRIM(C108)="",INDEX($C$2:$C$150,MATCH(MAX(COUNTIF($C$2:$C$150, $C$2:$C$150)), COUNTIF($C$2:$C$150, $C$2:$C$150), 0)),C108)</f>
        <v>Marketing</v>
      </c>
      <c r="M108" t="str" cm="1">
        <f t="array" ref="M108">IF(TRIM(D108)="",INDEX($D$2:$D$150,MATCH(MAX(COUNTIF($D$2:$D$150,$D$2:$D$150)),COUNTIF($D$2:$D$150,$D$2:$D$150),0)),D108)</f>
        <v>Australia</v>
      </c>
      <c r="N108" s="9">
        <f t="shared" si="8"/>
        <v>86412</v>
      </c>
      <c r="O108" s="10">
        <f t="shared" si="9"/>
        <v>42757</v>
      </c>
      <c r="P108" s="9">
        <f t="shared" si="10"/>
        <v>2</v>
      </c>
      <c r="Q108" s="5" t="str">
        <f t="shared" si="11"/>
        <v>user128@example.com</v>
      </c>
    </row>
    <row r="109" spans="1:17" x14ac:dyDescent="0.35">
      <c r="A109" s="6" t="s">
        <v>117</v>
      </c>
      <c r="B109" s="6" t="s">
        <v>163</v>
      </c>
      <c r="C109" s="6" t="s">
        <v>167</v>
      </c>
      <c r="E109" s="6">
        <v>66761</v>
      </c>
      <c r="F109" s="8">
        <v>42764</v>
      </c>
      <c r="G109" s="6">
        <v>1</v>
      </c>
      <c r="H109" s="2" t="s">
        <v>180</v>
      </c>
      <c r="I109" s="6" t="s">
        <v>262</v>
      </c>
      <c r="J109" s="6" t="str">
        <f t="shared" si="6"/>
        <v>Male</v>
      </c>
      <c r="K109" s="5" t="str">
        <f t="shared" si="7"/>
        <v>Sam Wilson</v>
      </c>
      <c r="L109" s="5" t="str" cm="1">
        <f t="array" ref="L109">IF(TRIM(C109)="",INDEX($C$2:$C$150,MATCH(MAX(COUNTIF($C$2:$C$150, $C$2:$C$150)), COUNTIF($C$2:$C$150, $C$2:$C$150), 0)),C109)</f>
        <v>HR</v>
      </c>
      <c r="M109" t="str" cm="1">
        <f t="array" ref="M109">IF(TRIM(D109)="",INDEX($D$2:$D$150,MATCH(MAX(COUNTIF($D$2:$D$150,$D$2:$D$150)),COUNTIF($D$2:$D$150,$D$2:$D$150),0)),D109)</f>
        <v>India</v>
      </c>
      <c r="N109" s="9">
        <f t="shared" si="8"/>
        <v>66761</v>
      </c>
      <c r="O109" s="10">
        <f t="shared" si="9"/>
        <v>42764</v>
      </c>
      <c r="P109" s="9">
        <f t="shared" si="10"/>
        <v>1</v>
      </c>
      <c r="Q109" s="5" t="str">
        <f t="shared" si="11"/>
        <v>user93@example.com</v>
      </c>
    </row>
    <row r="110" spans="1:17" x14ac:dyDescent="0.35">
      <c r="A110" s="6" t="s">
        <v>118</v>
      </c>
      <c r="B110" s="6" t="s">
        <v>162</v>
      </c>
      <c r="D110" s="6" t="s">
        <v>174</v>
      </c>
      <c r="E110" s="6">
        <v>88850</v>
      </c>
      <c r="F110" s="8">
        <v>42771</v>
      </c>
      <c r="G110" s="6">
        <v>1</v>
      </c>
      <c r="H110" s="2" t="s">
        <v>181</v>
      </c>
      <c r="I110" s="6" t="s">
        <v>263</v>
      </c>
      <c r="J110" s="6" t="str">
        <f t="shared" si="6"/>
        <v>Female</v>
      </c>
      <c r="K110" s="5" t="str">
        <f t="shared" si="7"/>
        <v>Jane Smith</v>
      </c>
      <c r="L110" s="5" t="str" cm="1">
        <f t="array" ref="L110">IF(TRIM(C110)="",INDEX($C$2:$C$150,MATCH(MAX(COUNTIF($C$2:$C$150, $C$2:$C$150)), COUNTIF($C$2:$C$150, $C$2:$C$150), 0)),C110)</f>
        <v>Marketing</v>
      </c>
      <c r="M110" t="str" cm="1">
        <f t="array" ref="M110">IF(TRIM(D110)="",INDEX($D$2:$D$150,MATCH(MAX(COUNTIF($D$2:$D$150,$D$2:$D$150)),COUNTIF($D$2:$D$150,$D$2:$D$150),0)),D110)</f>
        <v>India</v>
      </c>
      <c r="N110" s="9">
        <f t="shared" si="8"/>
        <v>88850</v>
      </c>
      <c r="O110" s="10">
        <f t="shared" si="9"/>
        <v>42771</v>
      </c>
      <c r="P110" s="9">
        <f t="shared" si="10"/>
        <v>1</v>
      </c>
      <c r="Q110" s="5" t="str">
        <f t="shared" si="11"/>
        <v>user174@example.com</v>
      </c>
    </row>
    <row r="111" spans="1:17" x14ac:dyDescent="0.35">
      <c r="A111" s="6" t="s">
        <v>119</v>
      </c>
      <c r="B111" s="6" t="s">
        <v>164</v>
      </c>
      <c r="C111" s="6" t="s">
        <v>168</v>
      </c>
      <c r="D111" s="6" t="s">
        <v>174</v>
      </c>
      <c r="E111" s="6">
        <v>31293</v>
      </c>
      <c r="F111" s="8"/>
      <c r="G111" s="6">
        <v>2</v>
      </c>
      <c r="H111" s="2" t="s">
        <v>181</v>
      </c>
      <c r="I111" s="6" t="s">
        <v>264</v>
      </c>
      <c r="J111" s="6" t="str">
        <f t="shared" si="6"/>
        <v>Female</v>
      </c>
      <c r="K111" s="5" t="str">
        <f t="shared" si="7"/>
        <v>Chris Lee</v>
      </c>
      <c r="L111" s="5" t="str" cm="1">
        <f t="array" ref="L111">IF(TRIM(C111)="",INDEX($C$2:$C$150,MATCH(MAX(COUNTIF($C$2:$C$150, $C$2:$C$150)), COUNTIF($C$2:$C$150, $C$2:$C$150), 0)),C111)</f>
        <v>Sales</v>
      </c>
      <c r="M111" t="str" cm="1">
        <f t="array" ref="M111">IF(TRIM(D111)="",INDEX($D$2:$D$150,MATCH(MAX(COUNTIF($D$2:$D$150,$D$2:$D$150)),COUNTIF($D$2:$D$150,$D$2:$D$150),0)),D111)</f>
        <v>India</v>
      </c>
      <c r="N111" s="9">
        <f t="shared" si="8"/>
        <v>31293</v>
      </c>
      <c r="O111" s="10">
        <f t="shared" si="9"/>
        <v>42533</v>
      </c>
      <c r="P111" s="9">
        <f t="shared" si="10"/>
        <v>2</v>
      </c>
      <c r="Q111" s="5" t="str">
        <f t="shared" si="11"/>
        <v>user44@example.com</v>
      </c>
    </row>
    <row r="112" spans="1:17" x14ac:dyDescent="0.35">
      <c r="A112" s="6" t="s">
        <v>120</v>
      </c>
      <c r="B112" s="6" t="s">
        <v>164</v>
      </c>
      <c r="C112" s="6" t="s">
        <v>169</v>
      </c>
      <c r="D112" s="6" t="s">
        <v>173</v>
      </c>
      <c r="E112" s="6">
        <v>34306</v>
      </c>
      <c r="F112" s="8">
        <v>42785</v>
      </c>
      <c r="G112" s="6">
        <v>5</v>
      </c>
      <c r="H112" s="2" t="s">
        <v>181</v>
      </c>
      <c r="I112" s="6" t="s">
        <v>239</v>
      </c>
      <c r="J112" s="6" t="str">
        <f t="shared" si="6"/>
        <v>Female</v>
      </c>
      <c r="K112" s="5" t="str">
        <f t="shared" si="7"/>
        <v>Chris Lee</v>
      </c>
      <c r="L112" s="5" t="str" cm="1">
        <f t="array" ref="L112">IF(TRIM(C112)="",INDEX($C$2:$C$150,MATCH(MAX(COUNTIF($C$2:$C$150, $C$2:$C$150)), COUNTIF($C$2:$C$150, $C$2:$C$150), 0)),C112)</f>
        <v>IT</v>
      </c>
      <c r="M112" t="str" cm="1">
        <f t="array" ref="M112">IF(TRIM(D112)="",INDEX($D$2:$D$150,MATCH(MAX(COUNTIF($D$2:$D$150,$D$2:$D$150)),COUNTIF($D$2:$D$150,$D$2:$D$150),0)),D112)</f>
        <v>USA</v>
      </c>
      <c r="N112" s="9">
        <f t="shared" si="8"/>
        <v>34306</v>
      </c>
      <c r="O112" s="10">
        <f t="shared" si="9"/>
        <v>42785</v>
      </c>
      <c r="P112" s="9">
        <f t="shared" si="10"/>
        <v>5</v>
      </c>
      <c r="Q112" s="5" t="str">
        <f t="shared" si="11"/>
        <v>user192@example.com</v>
      </c>
    </row>
    <row r="113" spans="1:17" x14ac:dyDescent="0.35">
      <c r="A113" s="6" t="s">
        <v>121</v>
      </c>
      <c r="B113" s="6" t="s">
        <v>159</v>
      </c>
      <c r="C113" s="6" t="s">
        <v>166</v>
      </c>
      <c r="D113" s="6" t="s">
        <v>174</v>
      </c>
      <c r="E113" s="6">
        <v>78330</v>
      </c>
      <c r="F113" s="8">
        <v>42792</v>
      </c>
      <c r="H113" s="2" t="s">
        <v>181</v>
      </c>
      <c r="I113" s="6" t="s">
        <v>258</v>
      </c>
      <c r="J113" s="6" t="str">
        <f t="shared" si="6"/>
        <v>Female</v>
      </c>
      <c r="K113" s="5" t="str">
        <f t="shared" si="7"/>
        <v>Eve Adams</v>
      </c>
      <c r="L113" s="5" t="str" cm="1">
        <f t="array" ref="L113">IF(TRIM(C113)="",INDEX($C$2:$C$150,MATCH(MAX(COUNTIF($C$2:$C$150, $C$2:$C$150)), COUNTIF($C$2:$C$150, $C$2:$C$150), 0)),C113)</f>
        <v>Finance</v>
      </c>
      <c r="M113" t="str" cm="1">
        <f t="array" ref="M113">IF(TRIM(D113)="",INDEX($D$2:$D$150,MATCH(MAX(COUNTIF($D$2:$D$150,$D$2:$D$150)),COUNTIF($D$2:$D$150,$D$2:$D$150),0)),D113)</f>
        <v>India</v>
      </c>
      <c r="N113" s="9">
        <f t="shared" si="8"/>
        <v>78330</v>
      </c>
      <c r="O113" s="10">
        <f t="shared" si="9"/>
        <v>42792</v>
      </c>
      <c r="P113" s="9">
        <f t="shared" si="10"/>
        <v>2.879032258064516</v>
      </c>
      <c r="Q113" s="5" t="str">
        <f t="shared" si="11"/>
        <v>user76@example.com</v>
      </c>
    </row>
    <row r="114" spans="1:17" x14ac:dyDescent="0.35">
      <c r="A114" s="6" t="s">
        <v>122</v>
      </c>
      <c r="B114" s="6" t="s">
        <v>160</v>
      </c>
      <c r="C114" s="6" t="s">
        <v>169</v>
      </c>
      <c r="D114" s="6" t="s">
        <v>173</v>
      </c>
      <c r="E114" s="6">
        <v>47653</v>
      </c>
      <c r="F114" s="8">
        <v>42799</v>
      </c>
      <c r="G114" s="6">
        <v>1</v>
      </c>
      <c r="H114" s="2" t="s">
        <v>181</v>
      </c>
      <c r="I114" s="6" t="s">
        <v>265</v>
      </c>
      <c r="J114" s="6" t="str">
        <f t="shared" si="6"/>
        <v>Female</v>
      </c>
      <c r="K114" s="5" t="str">
        <f t="shared" si="7"/>
        <v>Alice Brown</v>
      </c>
      <c r="L114" s="5" t="str" cm="1">
        <f t="array" ref="L114">IF(TRIM(C114)="",INDEX($C$2:$C$150,MATCH(MAX(COUNTIF($C$2:$C$150, $C$2:$C$150)), COUNTIF($C$2:$C$150, $C$2:$C$150), 0)),C114)</f>
        <v>IT</v>
      </c>
      <c r="M114" t="str" cm="1">
        <f t="array" ref="M114">IF(TRIM(D114)="",INDEX($D$2:$D$150,MATCH(MAX(COUNTIF($D$2:$D$150,$D$2:$D$150)),COUNTIF($D$2:$D$150,$D$2:$D$150),0)),D114)</f>
        <v>USA</v>
      </c>
      <c r="N114" s="9">
        <f t="shared" si="8"/>
        <v>47653</v>
      </c>
      <c r="O114" s="10">
        <f t="shared" si="9"/>
        <v>42799</v>
      </c>
      <c r="P114" s="9">
        <f t="shared" si="10"/>
        <v>1</v>
      </c>
      <c r="Q114" s="5" t="str">
        <f t="shared" si="11"/>
        <v>user82@example.com</v>
      </c>
    </row>
    <row r="115" spans="1:17" x14ac:dyDescent="0.35">
      <c r="A115" s="6" t="s">
        <v>123</v>
      </c>
      <c r="B115" s="6" t="s">
        <v>159</v>
      </c>
      <c r="C115" s="6" t="s">
        <v>170</v>
      </c>
      <c r="D115" s="6" t="s">
        <v>175</v>
      </c>
      <c r="E115" s="6">
        <v>44627</v>
      </c>
      <c r="F115" s="8">
        <v>42806</v>
      </c>
      <c r="G115" s="6">
        <v>4</v>
      </c>
      <c r="H115" s="2" t="s">
        <v>181</v>
      </c>
      <c r="I115" s="6" t="s">
        <v>235</v>
      </c>
      <c r="J115" s="6" t="str">
        <f t="shared" si="6"/>
        <v>Female</v>
      </c>
      <c r="K115" s="5" t="str">
        <f t="shared" si="7"/>
        <v>Eve Adams</v>
      </c>
      <c r="L115" s="5" t="str" cm="1">
        <f t="array" ref="L115">IF(TRIM(C115)="",INDEX($C$2:$C$150,MATCH(MAX(COUNTIF($C$2:$C$150, $C$2:$C$150)), COUNTIF($C$2:$C$150, $C$2:$C$150), 0)),C115)</f>
        <v>Marketing</v>
      </c>
      <c r="M115" t="str" cm="1">
        <f t="array" ref="M115">IF(TRIM(D115)="",INDEX($D$2:$D$150,MATCH(MAX(COUNTIF($D$2:$D$150,$D$2:$D$150)),COUNTIF($D$2:$D$150,$D$2:$D$150),0)),D115)</f>
        <v>UK</v>
      </c>
      <c r="N115" s="9">
        <f t="shared" si="8"/>
        <v>44627</v>
      </c>
      <c r="O115" s="10">
        <f t="shared" si="9"/>
        <v>42806</v>
      </c>
      <c r="P115" s="9">
        <f t="shared" si="10"/>
        <v>4</v>
      </c>
      <c r="Q115" s="5" t="str">
        <f t="shared" si="11"/>
        <v>user97@example.com</v>
      </c>
    </row>
    <row r="116" spans="1:17" x14ac:dyDescent="0.35">
      <c r="A116" s="6" t="s">
        <v>124</v>
      </c>
      <c r="B116" s="6" t="s">
        <v>165</v>
      </c>
      <c r="C116" s="6" t="s">
        <v>167</v>
      </c>
      <c r="D116" s="6" t="s">
        <v>172</v>
      </c>
      <c r="E116" s="6">
        <v>92343</v>
      </c>
      <c r="F116" s="8">
        <v>42813</v>
      </c>
      <c r="G116" s="6">
        <v>4</v>
      </c>
      <c r="H116" s="2" t="s">
        <v>180</v>
      </c>
      <c r="I116" s="6" t="s">
        <v>203</v>
      </c>
      <c r="J116" s="6" t="str">
        <f t="shared" si="6"/>
        <v>Male</v>
      </c>
      <c r="K116" s="5" t="str">
        <f t="shared" si="7"/>
        <v>Bob Johnson</v>
      </c>
      <c r="L116" s="5" t="str" cm="1">
        <f t="array" ref="L116">IF(TRIM(C116)="",INDEX($C$2:$C$150,MATCH(MAX(COUNTIF($C$2:$C$150, $C$2:$C$150)), COUNTIF($C$2:$C$150, $C$2:$C$150), 0)),C116)</f>
        <v>HR</v>
      </c>
      <c r="M116" t="str" cm="1">
        <f t="array" ref="M116">IF(TRIM(D116)="",INDEX($D$2:$D$150,MATCH(MAX(COUNTIF($D$2:$D$150,$D$2:$D$150)),COUNTIF($D$2:$D$150,$D$2:$D$150),0)),D116)</f>
        <v>Germany</v>
      </c>
      <c r="N116" s="9">
        <f t="shared" si="8"/>
        <v>92343</v>
      </c>
      <c r="O116" s="10">
        <f t="shared" si="9"/>
        <v>42813</v>
      </c>
      <c r="P116" s="9">
        <f t="shared" si="10"/>
        <v>4</v>
      </c>
      <c r="Q116" s="5" t="str">
        <f t="shared" si="11"/>
        <v>user149@example.com</v>
      </c>
    </row>
    <row r="117" spans="1:17" x14ac:dyDescent="0.35">
      <c r="A117" s="6" t="s">
        <v>125</v>
      </c>
      <c r="B117" s="6" t="s">
        <v>165</v>
      </c>
      <c r="C117" s="6" t="s">
        <v>170</v>
      </c>
      <c r="D117" s="6" t="s">
        <v>176</v>
      </c>
      <c r="E117" s="6">
        <v>38837</v>
      </c>
      <c r="F117" s="8">
        <v>42820</v>
      </c>
      <c r="G117" s="6">
        <v>5</v>
      </c>
      <c r="H117" s="2" t="s">
        <v>180</v>
      </c>
      <c r="I117" s="6" t="s">
        <v>239</v>
      </c>
      <c r="J117" s="6" t="str">
        <f t="shared" si="6"/>
        <v>Male</v>
      </c>
      <c r="K117" s="5" t="str">
        <f t="shared" si="7"/>
        <v>Bob Johnson</v>
      </c>
      <c r="L117" s="5" t="str" cm="1">
        <f t="array" ref="L117">IF(TRIM(C117)="",INDEX($C$2:$C$150,MATCH(MAX(COUNTIF($C$2:$C$150, $C$2:$C$150)), COUNTIF($C$2:$C$150, $C$2:$C$150), 0)),C117)</f>
        <v>Marketing</v>
      </c>
      <c r="M117" t="str" cm="1">
        <f t="array" ref="M117">IF(TRIM(D117)="",INDEX($D$2:$D$150,MATCH(MAX(COUNTIF($D$2:$D$150,$D$2:$D$150)),COUNTIF($D$2:$D$150,$D$2:$D$150),0)),D117)</f>
        <v>Australia</v>
      </c>
      <c r="N117" s="9">
        <f t="shared" si="8"/>
        <v>38837</v>
      </c>
      <c r="O117" s="10">
        <f t="shared" si="9"/>
        <v>42820</v>
      </c>
      <c r="P117" s="9">
        <f t="shared" si="10"/>
        <v>5</v>
      </c>
      <c r="Q117" s="5" t="str">
        <f t="shared" si="11"/>
        <v>user192@example.com</v>
      </c>
    </row>
    <row r="118" spans="1:17" x14ac:dyDescent="0.35">
      <c r="A118" s="6" t="s">
        <v>126</v>
      </c>
      <c r="B118" s="6" t="s">
        <v>165</v>
      </c>
      <c r="C118" s="6" t="s">
        <v>170</v>
      </c>
      <c r="E118" s="6">
        <v>73483</v>
      </c>
      <c r="F118" s="8">
        <v>42827</v>
      </c>
      <c r="G118" s="6">
        <v>1</v>
      </c>
      <c r="H118" s="2" t="s">
        <v>180</v>
      </c>
      <c r="I118" s="6" t="s">
        <v>266</v>
      </c>
      <c r="J118" s="6" t="str">
        <f t="shared" si="6"/>
        <v>Male</v>
      </c>
      <c r="K118" s="5" t="str">
        <f t="shared" si="7"/>
        <v>Bob Johnson</v>
      </c>
      <c r="L118" s="5" t="str" cm="1">
        <f t="array" ref="L118">IF(TRIM(C118)="",INDEX($C$2:$C$150,MATCH(MAX(COUNTIF($C$2:$C$150, $C$2:$C$150)), COUNTIF($C$2:$C$150, $C$2:$C$150), 0)),C118)</f>
        <v>Marketing</v>
      </c>
      <c r="M118" t="str" cm="1">
        <f t="array" ref="M118">IF(TRIM(D118)="",INDEX($D$2:$D$150,MATCH(MAX(COUNTIF($D$2:$D$150,$D$2:$D$150)),COUNTIF($D$2:$D$150,$D$2:$D$150),0)),D118)</f>
        <v>India</v>
      </c>
      <c r="N118" s="9">
        <f t="shared" si="8"/>
        <v>73483</v>
      </c>
      <c r="O118" s="10">
        <f t="shared" si="9"/>
        <v>42827</v>
      </c>
      <c r="P118" s="9">
        <f t="shared" si="10"/>
        <v>1</v>
      </c>
      <c r="Q118" s="5" t="str">
        <f t="shared" si="11"/>
        <v>user137@example.com</v>
      </c>
    </row>
    <row r="119" spans="1:17" x14ac:dyDescent="0.35">
      <c r="A119" s="6" t="s">
        <v>127</v>
      </c>
      <c r="B119" s="6" t="s">
        <v>164</v>
      </c>
      <c r="C119" s="6" t="s">
        <v>168</v>
      </c>
      <c r="D119" s="6" t="s">
        <v>174</v>
      </c>
      <c r="E119" s="6">
        <v>95032</v>
      </c>
      <c r="F119" s="8">
        <v>42834</v>
      </c>
      <c r="G119" s="6">
        <v>3</v>
      </c>
      <c r="H119" s="2" t="s">
        <v>181</v>
      </c>
      <c r="I119" s="6" t="s">
        <v>267</v>
      </c>
      <c r="J119" s="6" t="str">
        <f t="shared" si="6"/>
        <v>Female</v>
      </c>
      <c r="K119" s="5" t="str">
        <f t="shared" si="7"/>
        <v>Chris Lee</v>
      </c>
      <c r="L119" s="5" t="str" cm="1">
        <f t="array" ref="L119">IF(TRIM(C119)="",INDEX($C$2:$C$150,MATCH(MAX(COUNTIF($C$2:$C$150, $C$2:$C$150)), COUNTIF($C$2:$C$150, $C$2:$C$150), 0)),C119)</f>
        <v>Sales</v>
      </c>
      <c r="M119" t="str" cm="1">
        <f t="array" ref="M119">IF(TRIM(D119)="",INDEX($D$2:$D$150,MATCH(MAX(COUNTIF($D$2:$D$150,$D$2:$D$150)),COUNTIF($D$2:$D$150,$D$2:$D$150),0)),D119)</f>
        <v>India</v>
      </c>
      <c r="N119" s="9">
        <f t="shared" si="8"/>
        <v>95032</v>
      </c>
      <c r="O119" s="10">
        <f t="shared" si="9"/>
        <v>42834</v>
      </c>
      <c r="P119" s="9">
        <f t="shared" si="10"/>
        <v>3</v>
      </c>
      <c r="Q119" s="5" t="str">
        <f t="shared" si="11"/>
        <v>user23@example.com</v>
      </c>
    </row>
    <row r="120" spans="1:17" x14ac:dyDescent="0.35">
      <c r="A120" s="6" t="s">
        <v>128</v>
      </c>
      <c r="B120" s="6" t="s">
        <v>159</v>
      </c>
      <c r="C120" s="6" t="s">
        <v>168</v>
      </c>
      <c r="D120" s="6" t="s">
        <v>176</v>
      </c>
      <c r="E120" s="6">
        <v>44358</v>
      </c>
      <c r="F120" s="8">
        <v>42841</v>
      </c>
      <c r="H120" s="2" t="s">
        <v>181</v>
      </c>
      <c r="I120" s="6" t="s">
        <v>200</v>
      </c>
      <c r="J120" s="6" t="str">
        <f t="shared" si="6"/>
        <v>Female</v>
      </c>
      <c r="K120" s="5" t="str">
        <f t="shared" si="7"/>
        <v>Eve Adams</v>
      </c>
      <c r="L120" s="5" t="str" cm="1">
        <f t="array" ref="L120">IF(TRIM(C120)="",INDEX($C$2:$C$150,MATCH(MAX(COUNTIF($C$2:$C$150, $C$2:$C$150)), COUNTIF($C$2:$C$150, $C$2:$C$150), 0)),C120)</f>
        <v>Sales</v>
      </c>
      <c r="M120" t="str" cm="1">
        <f t="array" ref="M120">IF(TRIM(D120)="",INDEX($D$2:$D$150,MATCH(MAX(COUNTIF($D$2:$D$150,$D$2:$D$150)),COUNTIF($D$2:$D$150,$D$2:$D$150),0)),D120)</f>
        <v>Australia</v>
      </c>
      <c r="N120" s="9">
        <f t="shared" si="8"/>
        <v>44358</v>
      </c>
      <c r="O120" s="10">
        <f t="shared" si="9"/>
        <v>42841</v>
      </c>
      <c r="P120" s="9">
        <f t="shared" si="10"/>
        <v>2.879032258064516</v>
      </c>
      <c r="Q120" s="5" t="str">
        <f t="shared" si="11"/>
        <v>user200@example.com</v>
      </c>
    </row>
    <row r="121" spans="1:17" x14ac:dyDescent="0.35">
      <c r="A121" s="6" t="s">
        <v>129</v>
      </c>
      <c r="B121" s="6" t="s">
        <v>281</v>
      </c>
      <c r="C121" s="6" t="s">
        <v>169</v>
      </c>
      <c r="D121" s="6" t="s">
        <v>173</v>
      </c>
      <c r="E121" s="6" t="s">
        <v>177</v>
      </c>
      <c r="F121" s="8"/>
      <c r="G121" s="6">
        <v>5</v>
      </c>
      <c r="H121" s="2" t="s">
        <v>178</v>
      </c>
      <c r="I121" s="6" t="s">
        <v>268</v>
      </c>
      <c r="J121" s="6" t="str">
        <f t="shared" si="6"/>
        <v>Unknown</v>
      </c>
      <c r="K121" s="5" t="str">
        <f t="shared" si="7"/>
        <v>Unknown</v>
      </c>
      <c r="L121" s="5" t="str" cm="1">
        <f t="array" ref="L121">IF(TRIM(C121)="",INDEX($C$2:$C$150,MATCH(MAX(COUNTIF($C$2:$C$150, $C$2:$C$150)), COUNTIF($C$2:$C$150, $C$2:$C$150), 0)),C121)</f>
        <v>IT</v>
      </c>
      <c r="M121" t="str" cm="1">
        <f t="array" ref="M121">IF(TRIM(D121)="",INDEX($D$2:$D$150,MATCH(MAX(COUNTIF($D$2:$D$150,$D$2:$D$150)),COUNTIF($D$2:$D$150,$D$2:$D$150),0)),D121)</f>
        <v>USA</v>
      </c>
      <c r="N121" s="9">
        <f t="shared" si="8"/>
        <v>66280.929577464791</v>
      </c>
      <c r="O121" s="10">
        <f t="shared" si="9"/>
        <v>42533</v>
      </c>
      <c r="P121" s="9">
        <f t="shared" si="10"/>
        <v>5</v>
      </c>
      <c r="Q121" s="5" t="str">
        <f t="shared" si="11"/>
        <v>user101@example.com</v>
      </c>
    </row>
    <row r="122" spans="1:17" x14ac:dyDescent="0.35">
      <c r="A122" s="6" t="s">
        <v>130</v>
      </c>
      <c r="B122" s="6" t="s">
        <v>164</v>
      </c>
      <c r="C122" s="6" t="s">
        <v>168</v>
      </c>
      <c r="D122" s="6" t="s">
        <v>173</v>
      </c>
      <c r="E122" s="6">
        <v>45676</v>
      </c>
      <c r="F122" s="8">
        <v>42855</v>
      </c>
      <c r="G122" s="6">
        <v>2</v>
      </c>
      <c r="H122" s="2" t="s">
        <v>181</v>
      </c>
      <c r="I122" s="6" t="s">
        <v>269</v>
      </c>
      <c r="J122" s="6" t="str">
        <f t="shared" si="6"/>
        <v>Female</v>
      </c>
      <c r="K122" s="5" t="str">
        <f t="shared" si="7"/>
        <v>Chris Lee</v>
      </c>
      <c r="L122" s="5" t="str" cm="1">
        <f t="array" ref="L122">IF(TRIM(C122)="",INDEX($C$2:$C$150,MATCH(MAX(COUNTIF($C$2:$C$150, $C$2:$C$150)), COUNTIF($C$2:$C$150, $C$2:$C$150), 0)),C122)</f>
        <v>Sales</v>
      </c>
      <c r="M122" t="str" cm="1">
        <f t="array" ref="M122">IF(TRIM(D122)="",INDEX($D$2:$D$150,MATCH(MAX(COUNTIF($D$2:$D$150,$D$2:$D$150)),COUNTIF($D$2:$D$150,$D$2:$D$150),0)),D122)</f>
        <v>USA</v>
      </c>
      <c r="N122" s="9">
        <f t="shared" si="8"/>
        <v>45676</v>
      </c>
      <c r="O122" s="10">
        <f t="shared" si="9"/>
        <v>42855</v>
      </c>
      <c r="P122" s="9">
        <f t="shared" si="10"/>
        <v>2</v>
      </c>
      <c r="Q122" s="5" t="str">
        <f t="shared" si="11"/>
        <v>user132@example.com</v>
      </c>
    </row>
    <row r="123" spans="1:17" x14ac:dyDescent="0.35">
      <c r="A123" s="6" t="s">
        <v>131</v>
      </c>
      <c r="B123" s="6" t="s">
        <v>165</v>
      </c>
      <c r="C123" s="6" t="s">
        <v>168</v>
      </c>
      <c r="D123" s="6" t="s">
        <v>172</v>
      </c>
      <c r="E123" s="6">
        <v>52036</v>
      </c>
      <c r="F123" s="8">
        <v>42862</v>
      </c>
      <c r="G123" s="6">
        <v>3</v>
      </c>
      <c r="H123" s="2" t="s">
        <v>180</v>
      </c>
      <c r="I123" s="6" t="s">
        <v>270</v>
      </c>
      <c r="J123" s="6" t="str">
        <f t="shared" si="6"/>
        <v>Male</v>
      </c>
      <c r="K123" s="5" t="str">
        <f t="shared" si="7"/>
        <v>Bob Johnson</v>
      </c>
      <c r="L123" s="5" t="str" cm="1">
        <f t="array" ref="L123">IF(TRIM(C123)="",INDEX($C$2:$C$150,MATCH(MAX(COUNTIF($C$2:$C$150, $C$2:$C$150)), COUNTIF($C$2:$C$150, $C$2:$C$150), 0)),C123)</f>
        <v>Sales</v>
      </c>
      <c r="M123" t="str" cm="1">
        <f t="array" ref="M123">IF(TRIM(D123)="",INDEX($D$2:$D$150,MATCH(MAX(COUNTIF($D$2:$D$150,$D$2:$D$150)),COUNTIF($D$2:$D$150,$D$2:$D$150),0)),D123)</f>
        <v>Germany</v>
      </c>
      <c r="N123" s="9">
        <f t="shared" si="8"/>
        <v>52036</v>
      </c>
      <c r="O123" s="10">
        <f t="shared" si="9"/>
        <v>42862</v>
      </c>
      <c r="P123" s="9">
        <f t="shared" si="10"/>
        <v>3</v>
      </c>
      <c r="Q123" s="5" t="str">
        <f t="shared" si="11"/>
        <v>user171@example.com</v>
      </c>
    </row>
    <row r="124" spans="1:17" x14ac:dyDescent="0.35">
      <c r="A124" s="6" t="s">
        <v>132</v>
      </c>
      <c r="B124" s="6" t="s">
        <v>162</v>
      </c>
      <c r="D124" s="6" t="s">
        <v>172</v>
      </c>
      <c r="E124" s="6">
        <v>30357</v>
      </c>
      <c r="F124" s="8">
        <v>42869</v>
      </c>
      <c r="G124" s="6">
        <v>5</v>
      </c>
      <c r="H124" s="2" t="s">
        <v>181</v>
      </c>
      <c r="I124" s="6" t="s">
        <v>248</v>
      </c>
      <c r="J124" s="6" t="str">
        <f t="shared" si="6"/>
        <v>Female</v>
      </c>
      <c r="K124" s="5" t="str">
        <f t="shared" si="7"/>
        <v>Jane Smith</v>
      </c>
      <c r="L124" s="5" t="str" cm="1">
        <f t="array" ref="L124">IF(TRIM(C124)="",INDEX($C$2:$C$150,MATCH(MAX(COUNTIF($C$2:$C$150, $C$2:$C$150)), COUNTIF($C$2:$C$150, $C$2:$C$150), 0)),C124)</f>
        <v>Marketing</v>
      </c>
      <c r="M124" t="str" cm="1">
        <f t="array" ref="M124">IF(TRIM(D124)="",INDEX($D$2:$D$150,MATCH(MAX(COUNTIF($D$2:$D$150,$D$2:$D$150)),COUNTIF($D$2:$D$150,$D$2:$D$150),0)),D124)</f>
        <v>Germany</v>
      </c>
      <c r="N124" s="9">
        <f t="shared" si="8"/>
        <v>30357</v>
      </c>
      <c r="O124" s="10">
        <f t="shared" si="9"/>
        <v>42869</v>
      </c>
      <c r="P124" s="9">
        <f t="shared" si="10"/>
        <v>5</v>
      </c>
      <c r="Q124" s="5" t="str">
        <f t="shared" si="11"/>
        <v>user145@example.com</v>
      </c>
    </row>
    <row r="125" spans="1:17" x14ac:dyDescent="0.35">
      <c r="A125" s="6" t="s">
        <v>133</v>
      </c>
      <c r="B125" s="6" t="s">
        <v>161</v>
      </c>
      <c r="C125" s="6" t="s">
        <v>169</v>
      </c>
      <c r="E125" s="6">
        <v>60034</v>
      </c>
      <c r="F125" s="8">
        <v>42876</v>
      </c>
      <c r="G125" s="6">
        <v>1</v>
      </c>
      <c r="H125" s="2" t="s">
        <v>181</v>
      </c>
      <c r="I125" s="6" t="s">
        <v>271</v>
      </c>
      <c r="J125" s="6" t="str">
        <f t="shared" si="6"/>
        <v>Female</v>
      </c>
      <c r="K125" s="5" t="str">
        <f t="shared" si="7"/>
        <v>John Doe</v>
      </c>
      <c r="L125" s="5" t="str" cm="1">
        <f t="array" ref="L125">IF(TRIM(C125)="",INDEX($C$2:$C$150,MATCH(MAX(COUNTIF($C$2:$C$150, $C$2:$C$150)), COUNTIF($C$2:$C$150, $C$2:$C$150), 0)),C125)</f>
        <v>IT</v>
      </c>
      <c r="M125" t="str" cm="1">
        <f t="array" ref="M125">IF(TRIM(D125)="",INDEX($D$2:$D$150,MATCH(MAX(COUNTIF($D$2:$D$150,$D$2:$D$150)),COUNTIF($D$2:$D$150,$D$2:$D$150),0)),D125)</f>
        <v>India</v>
      </c>
      <c r="N125" s="9">
        <f t="shared" si="8"/>
        <v>60034</v>
      </c>
      <c r="O125" s="10">
        <f t="shared" si="9"/>
        <v>42876</v>
      </c>
      <c r="P125" s="9">
        <f t="shared" si="10"/>
        <v>1</v>
      </c>
      <c r="Q125" s="5" t="str">
        <f t="shared" si="11"/>
        <v>user75@example.com</v>
      </c>
    </row>
    <row r="126" spans="1:17" x14ac:dyDescent="0.35">
      <c r="A126" s="6" t="s">
        <v>134</v>
      </c>
      <c r="B126" s="6" t="s">
        <v>161</v>
      </c>
      <c r="C126" s="6" t="s">
        <v>166</v>
      </c>
      <c r="D126" s="6" t="s">
        <v>171</v>
      </c>
      <c r="E126" s="6">
        <v>90019</v>
      </c>
      <c r="F126" s="8">
        <v>42883</v>
      </c>
      <c r="G126" s="6">
        <v>5</v>
      </c>
      <c r="H126" s="2" t="s">
        <v>180</v>
      </c>
      <c r="I126" s="6" t="s">
        <v>272</v>
      </c>
      <c r="J126" s="6" t="str">
        <f t="shared" si="6"/>
        <v>Male</v>
      </c>
      <c r="K126" s="5" t="str">
        <f t="shared" si="7"/>
        <v>John Doe</v>
      </c>
      <c r="L126" s="5" t="str" cm="1">
        <f t="array" ref="L126">IF(TRIM(C126)="",INDEX($C$2:$C$150,MATCH(MAX(COUNTIF($C$2:$C$150, $C$2:$C$150)), COUNTIF($C$2:$C$150, $C$2:$C$150), 0)),C126)</f>
        <v>Finance</v>
      </c>
      <c r="M126" t="str" cm="1">
        <f t="array" ref="M126">IF(TRIM(D126)="",INDEX($D$2:$D$150,MATCH(MAX(COUNTIF($D$2:$D$150,$D$2:$D$150)),COUNTIF($D$2:$D$150,$D$2:$D$150),0)),D126)</f>
        <v>India</v>
      </c>
      <c r="N126" s="9">
        <f t="shared" si="8"/>
        <v>90019</v>
      </c>
      <c r="O126" s="10">
        <f t="shared" si="9"/>
        <v>42883</v>
      </c>
      <c r="P126" s="9">
        <f t="shared" si="10"/>
        <v>5</v>
      </c>
      <c r="Q126" s="5" t="str">
        <f t="shared" si="11"/>
        <v>user52@example.com</v>
      </c>
    </row>
    <row r="127" spans="1:17" x14ac:dyDescent="0.35">
      <c r="A127" s="6" t="s">
        <v>135</v>
      </c>
      <c r="B127" s="6" t="s">
        <v>165</v>
      </c>
      <c r="D127" s="6" t="s">
        <v>172</v>
      </c>
      <c r="E127" s="6">
        <v>71494</v>
      </c>
      <c r="F127" s="8">
        <v>42890</v>
      </c>
      <c r="G127" s="6">
        <v>3</v>
      </c>
      <c r="H127" s="2" t="s">
        <v>180</v>
      </c>
      <c r="I127" s="6" t="s">
        <v>273</v>
      </c>
      <c r="J127" s="6" t="str">
        <f t="shared" si="6"/>
        <v>Male</v>
      </c>
      <c r="K127" s="5" t="str">
        <f t="shared" si="7"/>
        <v>Bob Johnson</v>
      </c>
      <c r="L127" s="5" t="str" cm="1">
        <f t="array" ref="L127">IF(TRIM(C127)="",INDEX($C$2:$C$150,MATCH(MAX(COUNTIF($C$2:$C$150, $C$2:$C$150)), COUNTIF($C$2:$C$150, $C$2:$C$150), 0)),C127)</f>
        <v>Marketing</v>
      </c>
      <c r="M127" t="str" cm="1">
        <f t="array" ref="M127">IF(TRIM(D127)="",INDEX($D$2:$D$150,MATCH(MAX(COUNTIF($D$2:$D$150,$D$2:$D$150)),COUNTIF($D$2:$D$150,$D$2:$D$150),0)),D127)</f>
        <v>Germany</v>
      </c>
      <c r="N127" s="9">
        <f t="shared" si="8"/>
        <v>71494</v>
      </c>
      <c r="O127" s="10">
        <f t="shared" si="9"/>
        <v>42890</v>
      </c>
      <c r="P127" s="9">
        <f t="shared" si="10"/>
        <v>3</v>
      </c>
      <c r="Q127" s="5" t="str">
        <f t="shared" si="11"/>
        <v>user100@example.com</v>
      </c>
    </row>
    <row r="128" spans="1:17" x14ac:dyDescent="0.35">
      <c r="A128" s="6" t="s">
        <v>136</v>
      </c>
      <c r="B128" s="6" t="s">
        <v>161</v>
      </c>
      <c r="C128" s="6" t="s">
        <v>166</v>
      </c>
      <c r="D128" s="6" t="s">
        <v>173</v>
      </c>
      <c r="E128" s="6">
        <v>91953</v>
      </c>
      <c r="F128" s="8">
        <v>42897</v>
      </c>
      <c r="G128" s="6">
        <v>2</v>
      </c>
      <c r="H128" s="2" t="s">
        <v>180</v>
      </c>
      <c r="I128" s="6" t="s">
        <v>209</v>
      </c>
      <c r="J128" s="6" t="str">
        <f t="shared" si="6"/>
        <v>Male</v>
      </c>
      <c r="K128" s="5" t="str">
        <f t="shared" si="7"/>
        <v>John Doe</v>
      </c>
      <c r="L128" s="5" t="str" cm="1">
        <f t="array" ref="L128">IF(TRIM(C128)="",INDEX($C$2:$C$150,MATCH(MAX(COUNTIF($C$2:$C$150, $C$2:$C$150)), COUNTIF($C$2:$C$150, $C$2:$C$150), 0)),C128)</f>
        <v>Finance</v>
      </c>
      <c r="M128" t="str" cm="1">
        <f t="array" ref="M128">IF(TRIM(D128)="",INDEX($D$2:$D$150,MATCH(MAX(COUNTIF($D$2:$D$150,$D$2:$D$150)),COUNTIF($D$2:$D$150,$D$2:$D$150),0)),D128)</f>
        <v>USA</v>
      </c>
      <c r="N128" s="9">
        <f t="shared" si="8"/>
        <v>91953</v>
      </c>
      <c r="O128" s="10">
        <f t="shared" si="9"/>
        <v>42897</v>
      </c>
      <c r="P128" s="9">
        <f t="shared" si="10"/>
        <v>2</v>
      </c>
      <c r="Q128" s="5" t="str">
        <f t="shared" si="11"/>
        <v>user83@example.com</v>
      </c>
    </row>
    <row r="129" spans="1:17" x14ac:dyDescent="0.35">
      <c r="A129" s="6" t="s">
        <v>137</v>
      </c>
      <c r="B129" s="6" t="s">
        <v>164</v>
      </c>
      <c r="C129" s="6" t="s">
        <v>168</v>
      </c>
      <c r="D129" s="6" t="s">
        <v>173</v>
      </c>
      <c r="E129" s="6">
        <v>30402</v>
      </c>
      <c r="F129" s="8">
        <v>42904</v>
      </c>
      <c r="G129" s="6">
        <v>1</v>
      </c>
      <c r="H129" s="2" t="s">
        <v>181</v>
      </c>
      <c r="I129" s="6" t="s">
        <v>274</v>
      </c>
      <c r="J129" s="6" t="str">
        <f t="shared" si="6"/>
        <v>Female</v>
      </c>
      <c r="K129" s="5" t="str">
        <f t="shared" si="7"/>
        <v>Chris Lee</v>
      </c>
      <c r="L129" s="5" t="str" cm="1">
        <f t="array" ref="L129">IF(TRIM(C129)="",INDEX($C$2:$C$150,MATCH(MAX(COUNTIF($C$2:$C$150, $C$2:$C$150)), COUNTIF($C$2:$C$150, $C$2:$C$150), 0)),C129)</f>
        <v>Sales</v>
      </c>
      <c r="M129" t="str" cm="1">
        <f t="array" ref="M129">IF(TRIM(D129)="",INDEX($D$2:$D$150,MATCH(MAX(COUNTIF($D$2:$D$150,$D$2:$D$150)),COUNTIF($D$2:$D$150,$D$2:$D$150),0)),D129)</f>
        <v>USA</v>
      </c>
      <c r="N129" s="9">
        <f t="shared" si="8"/>
        <v>30402</v>
      </c>
      <c r="O129" s="10">
        <f t="shared" si="9"/>
        <v>42904</v>
      </c>
      <c r="P129" s="9">
        <f t="shared" si="10"/>
        <v>1</v>
      </c>
      <c r="Q129" s="5" t="str">
        <f t="shared" si="11"/>
        <v>user167@example.com</v>
      </c>
    </row>
    <row r="130" spans="1:17" x14ac:dyDescent="0.35">
      <c r="A130" s="6" t="s">
        <v>138</v>
      </c>
      <c r="B130" s="6" t="s">
        <v>165</v>
      </c>
      <c r="D130" s="6" t="s">
        <v>175</v>
      </c>
      <c r="E130" s="6">
        <v>62994</v>
      </c>
      <c r="F130" s="8">
        <v>42911</v>
      </c>
      <c r="H130" s="2" t="s">
        <v>180</v>
      </c>
      <c r="I130" s="6" t="s">
        <v>221</v>
      </c>
      <c r="J130" s="6" t="str">
        <f t="shared" si="6"/>
        <v>Male</v>
      </c>
      <c r="K130" s="5" t="str">
        <f t="shared" si="7"/>
        <v>Bob Johnson</v>
      </c>
      <c r="L130" s="5" t="str" cm="1">
        <f t="array" ref="L130">IF(TRIM(C130)="",INDEX($C$2:$C$150,MATCH(MAX(COUNTIF($C$2:$C$150, $C$2:$C$150)), COUNTIF($C$2:$C$150, $C$2:$C$150), 0)),C130)</f>
        <v>Marketing</v>
      </c>
      <c r="M130" t="str" cm="1">
        <f t="array" ref="M130">IF(TRIM(D130)="",INDEX($D$2:$D$150,MATCH(MAX(COUNTIF($D$2:$D$150,$D$2:$D$150)),COUNTIF($D$2:$D$150,$D$2:$D$150),0)),D130)</f>
        <v>UK</v>
      </c>
      <c r="N130" s="9">
        <f t="shared" si="8"/>
        <v>62994</v>
      </c>
      <c r="O130" s="10">
        <f t="shared" si="9"/>
        <v>42911</v>
      </c>
      <c r="P130" s="9">
        <f t="shared" si="10"/>
        <v>2.879032258064516</v>
      </c>
      <c r="Q130" s="5" t="str">
        <f t="shared" si="11"/>
        <v>user175@example.com</v>
      </c>
    </row>
    <row r="131" spans="1:17" x14ac:dyDescent="0.35">
      <c r="A131" s="6" t="s">
        <v>139</v>
      </c>
      <c r="B131" s="6" t="s">
        <v>160</v>
      </c>
      <c r="C131" s="6" t="s">
        <v>168</v>
      </c>
      <c r="D131" s="6" t="s">
        <v>174</v>
      </c>
      <c r="E131" s="6">
        <v>48289</v>
      </c>
      <c r="F131" s="8"/>
      <c r="G131" s="6">
        <v>3</v>
      </c>
      <c r="H131" s="2" t="s">
        <v>181</v>
      </c>
      <c r="I131" s="6" t="s">
        <v>189</v>
      </c>
      <c r="J131" s="6" t="str">
        <f t="shared" ref="J131:J150" si="12">PROPER(TRIM(H131))</f>
        <v>Female</v>
      </c>
      <c r="K131" s="5" t="str">
        <f t="shared" ref="K131:K150" si="13">IF(TRIM(B131)="", "Unknown", PROPER(B131))</f>
        <v>Alice Brown</v>
      </c>
      <c r="L131" s="5" t="str" cm="1">
        <f t="array" ref="L131">IF(TRIM(C131)="",INDEX($C$2:$C$150,MATCH(MAX(COUNTIF($C$2:$C$150, $C$2:$C$150)), COUNTIF($C$2:$C$150, $C$2:$C$150), 0)),C131)</f>
        <v>Sales</v>
      </c>
      <c r="M131" t="str" cm="1">
        <f t="array" ref="M131">IF(TRIM(D131)="",INDEX($D$2:$D$150,MATCH(MAX(COUNTIF($D$2:$D$150,$D$2:$D$150)),COUNTIF($D$2:$D$150,$D$2:$D$150),0)),D131)</f>
        <v>India</v>
      </c>
      <c r="N131" s="9">
        <f t="shared" ref="N131:N150" si="14">IF(TRIM(E131)="N/A", AVERAGEIF($E$2:$E$150,"&lt;&gt;N/A"),E131)</f>
        <v>48289</v>
      </c>
      <c r="O131" s="10">
        <f t="shared" ref="O131:O150" si="15">IF(TRIM(F131)="", MEDIAN($F$2:$F$150), F131)</f>
        <v>42533</v>
      </c>
      <c r="P131" s="9">
        <f t="shared" ref="P131:P150" si="16">IF(TRIM(G131)="", AVERAGEIF($G$2:$G$150, "&lt;&gt;"), G131)</f>
        <v>3</v>
      </c>
      <c r="Q131" s="5" t="str">
        <f t="shared" ref="Q131:Q150" si="17">IF(I131="invalid_Email","Unknown",LOWER(I131))</f>
        <v>user25@example.com</v>
      </c>
    </row>
    <row r="132" spans="1:17" x14ac:dyDescent="0.35">
      <c r="A132" s="6" t="s">
        <v>140</v>
      </c>
      <c r="B132" s="6" t="s">
        <v>163</v>
      </c>
      <c r="C132" s="6" t="s">
        <v>170</v>
      </c>
      <c r="D132" s="6" t="s">
        <v>172</v>
      </c>
      <c r="E132" s="6">
        <v>34402</v>
      </c>
      <c r="F132" s="8">
        <v>42925</v>
      </c>
      <c r="G132" s="6">
        <v>3</v>
      </c>
      <c r="H132" s="2" t="s">
        <v>180</v>
      </c>
      <c r="I132" s="6" t="s">
        <v>218</v>
      </c>
      <c r="J132" s="6" t="str">
        <f t="shared" si="12"/>
        <v>Male</v>
      </c>
      <c r="K132" s="5" t="str">
        <f t="shared" si="13"/>
        <v>Sam Wilson</v>
      </c>
      <c r="L132" s="5" t="str" cm="1">
        <f t="array" ref="L132">IF(TRIM(C132)="",INDEX($C$2:$C$150,MATCH(MAX(COUNTIF($C$2:$C$150, $C$2:$C$150)), COUNTIF($C$2:$C$150, $C$2:$C$150), 0)),C132)</f>
        <v>Marketing</v>
      </c>
      <c r="M132" t="str" cm="1">
        <f t="array" ref="M132">IF(TRIM(D132)="",INDEX($D$2:$D$150,MATCH(MAX(COUNTIF($D$2:$D$150,$D$2:$D$150)),COUNTIF($D$2:$D$150,$D$2:$D$150),0)),D132)</f>
        <v>Germany</v>
      </c>
      <c r="N132" s="9">
        <f t="shared" si="14"/>
        <v>34402</v>
      </c>
      <c r="O132" s="10">
        <f t="shared" si="15"/>
        <v>42925</v>
      </c>
      <c r="P132" s="9">
        <f t="shared" si="16"/>
        <v>3</v>
      </c>
      <c r="Q132" s="5" t="str">
        <f t="shared" si="17"/>
        <v>user42@example.com</v>
      </c>
    </row>
    <row r="133" spans="1:17" x14ac:dyDescent="0.35">
      <c r="A133" s="6" t="s">
        <v>141</v>
      </c>
      <c r="B133" s="6" t="s">
        <v>159</v>
      </c>
      <c r="C133" s="6" t="s">
        <v>167</v>
      </c>
      <c r="D133" s="6" t="s">
        <v>173</v>
      </c>
      <c r="E133" s="6">
        <v>38678</v>
      </c>
      <c r="F133" s="8">
        <v>42932</v>
      </c>
      <c r="G133" s="6">
        <v>3</v>
      </c>
      <c r="H133" s="2" t="s">
        <v>181</v>
      </c>
      <c r="I133" s="6" t="s">
        <v>275</v>
      </c>
      <c r="J133" s="6" t="str">
        <f t="shared" si="12"/>
        <v>Female</v>
      </c>
      <c r="K133" s="5" t="str">
        <f t="shared" si="13"/>
        <v>Eve Adams</v>
      </c>
      <c r="L133" s="5" t="str" cm="1">
        <f t="array" ref="L133">IF(TRIM(C133)="",INDEX($C$2:$C$150,MATCH(MAX(COUNTIF($C$2:$C$150, $C$2:$C$150)), COUNTIF($C$2:$C$150, $C$2:$C$150), 0)),C133)</f>
        <v>HR</v>
      </c>
      <c r="M133" t="str" cm="1">
        <f t="array" ref="M133">IF(TRIM(D133)="",INDEX($D$2:$D$150,MATCH(MAX(COUNTIF($D$2:$D$150,$D$2:$D$150)),COUNTIF($D$2:$D$150,$D$2:$D$150),0)),D133)</f>
        <v>USA</v>
      </c>
      <c r="N133" s="9">
        <f t="shared" si="14"/>
        <v>38678</v>
      </c>
      <c r="O133" s="10">
        <f t="shared" si="15"/>
        <v>42932</v>
      </c>
      <c r="P133" s="9">
        <f t="shared" si="16"/>
        <v>3</v>
      </c>
      <c r="Q133" s="5" t="str">
        <f t="shared" si="17"/>
        <v>user188@example.com</v>
      </c>
    </row>
    <row r="134" spans="1:17" x14ac:dyDescent="0.35">
      <c r="A134" s="6" t="s">
        <v>142</v>
      </c>
      <c r="B134" s="6" t="s">
        <v>164</v>
      </c>
      <c r="C134" s="6" t="s">
        <v>167</v>
      </c>
      <c r="D134" s="6" t="s">
        <v>172</v>
      </c>
      <c r="E134" s="6">
        <v>45758</v>
      </c>
      <c r="F134" s="8">
        <v>42939</v>
      </c>
      <c r="G134" s="6">
        <v>3</v>
      </c>
      <c r="H134" s="2" t="s">
        <v>181</v>
      </c>
      <c r="I134" s="6" t="s">
        <v>264</v>
      </c>
      <c r="J134" s="6" t="str">
        <f t="shared" si="12"/>
        <v>Female</v>
      </c>
      <c r="K134" s="5" t="str">
        <f t="shared" si="13"/>
        <v>Chris Lee</v>
      </c>
      <c r="L134" s="5" t="str" cm="1">
        <f t="array" ref="L134">IF(TRIM(C134)="",INDEX($C$2:$C$150,MATCH(MAX(COUNTIF($C$2:$C$150, $C$2:$C$150)), COUNTIF($C$2:$C$150, $C$2:$C$150), 0)),C134)</f>
        <v>HR</v>
      </c>
      <c r="M134" t="str" cm="1">
        <f t="array" ref="M134">IF(TRIM(D134)="",INDEX($D$2:$D$150,MATCH(MAX(COUNTIF($D$2:$D$150,$D$2:$D$150)),COUNTIF($D$2:$D$150,$D$2:$D$150),0)),D134)</f>
        <v>Germany</v>
      </c>
      <c r="N134" s="9">
        <f t="shared" si="14"/>
        <v>45758</v>
      </c>
      <c r="O134" s="10">
        <f t="shared" si="15"/>
        <v>42939</v>
      </c>
      <c r="P134" s="9">
        <f t="shared" si="16"/>
        <v>3</v>
      </c>
      <c r="Q134" s="5" t="str">
        <f t="shared" si="17"/>
        <v>user44@example.com</v>
      </c>
    </row>
    <row r="135" spans="1:17" x14ac:dyDescent="0.35">
      <c r="A135" s="6" t="s">
        <v>143</v>
      </c>
      <c r="B135" s="6" t="s">
        <v>159</v>
      </c>
      <c r="C135" s="6" t="s">
        <v>170</v>
      </c>
      <c r="D135" s="6" t="s">
        <v>174</v>
      </c>
      <c r="E135" s="6">
        <v>62476</v>
      </c>
      <c r="F135" s="8">
        <v>42946</v>
      </c>
      <c r="G135" s="6">
        <v>1</v>
      </c>
      <c r="H135" s="2" t="s">
        <v>181</v>
      </c>
      <c r="I135" s="6" t="s">
        <v>231</v>
      </c>
      <c r="J135" s="6" t="str">
        <f t="shared" si="12"/>
        <v>Female</v>
      </c>
      <c r="K135" s="5" t="str">
        <f t="shared" si="13"/>
        <v>Eve Adams</v>
      </c>
      <c r="L135" s="5" t="str" cm="1">
        <f t="array" ref="L135">IF(TRIM(C135)="",INDEX($C$2:$C$150,MATCH(MAX(COUNTIF($C$2:$C$150, $C$2:$C$150)), COUNTIF($C$2:$C$150, $C$2:$C$150), 0)),C135)</f>
        <v>Marketing</v>
      </c>
      <c r="M135" t="str" cm="1">
        <f t="array" ref="M135">IF(TRIM(D135)="",INDEX($D$2:$D$150,MATCH(MAX(COUNTIF($D$2:$D$150,$D$2:$D$150)),COUNTIF($D$2:$D$150,$D$2:$D$150),0)),D135)</f>
        <v>India</v>
      </c>
      <c r="N135" s="9">
        <f t="shared" si="14"/>
        <v>62476</v>
      </c>
      <c r="O135" s="10">
        <f t="shared" si="15"/>
        <v>42946</v>
      </c>
      <c r="P135" s="9">
        <f t="shared" si="16"/>
        <v>1</v>
      </c>
      <c r="Q135" s="5" t="str">
        <f t="shared" si="17"/>
        <v>user63@example.com</v>
      </c>
    </row>
    <row r="136" spans="1:17" x14ac:dyDescent="0.35">
      <c r="A136" s="6" t="s">
        <v>144</v>
      </c>
      <c r="B136" s="6" t="s">
        <v>281</v>
      </c>
      <c r="C136" s="6" t="s">
        <v>169</v>
      </c>
      <c r="D136" s="6" t="s">
        <v>175</v>
      </c>
      <c r="E136" s="6">
        <v>39280</v>
      </c>
      <c r="F136" s="8">
        <v>42953</v>
      </c>
      <c r="G136" s="6">
        <v>3</v>
      </c>
      <c r="H136" s="2" t="s">
        <v>181</v>
      </c>
      <c r="I136" s="6" t="s">
        <v>214</v>
      </c>
      <c r="J136" s="6" t="str">
        <f t="shared" si="12"/>
        <v>Female</v>
      </c>
      <c r="K136" s="5" t="str">
        <f t="shared" si="13"/>
        <v>Unknown</v>
      </c>
      <c r="L136" s="5" t="str" cm="1">
        <f t="array" ref="L136">IF(TRIM(C136)="",INDEX($C$2:$C$150,MATCH(MAX(COUNTIF($C$2:$C$150, $C$2:$C$150)), COUNTIF($C$2:$C$150, $C$2:$C$150), 0)),C136)</f>
        <v>IT</v>
      </c>
      <c r="M136" t="str" cm="1">
        <f t="array" ref="M136">IF(TRIM(D136)="",INDEX($D$2:$D$150,MATCH(MAX(COUNTIF($D$2:$D$150,$D$2:$D$150)),COUNTIF($D$2:$D$150,$D$2:$D$150),0)),D136)</f>
        <v>UK</v>
      </c>
      <c r="N136" s="9">
        <f t="shared" si="14"/>
        <v>39280</v>
      </c>
      <c r="O136" s="10">
        <f t="shared" si="15"/>
        <v>42953</v>
      </c>
      <c r="P136" s="9">
        <f t="shared" si="16"/>
        <v>3</v>
      </c>
      <c r="Q136" s="5" t="str">
        <f t="shared" si="17"/>
        <v>user198@example.com</v>
      </c>
    </row>
    <row r="137" spans="1:17" x14ac:dyDescent="0.35">
      <c r="A137" s="6" t="s">
        <v>145</v>
      </c>
      <c r="B137" s="6" t="s">
        <v>162</v>
      </c>
      <c r="C137" s="6" t="s">
        <v>166</v>
      </c>
      <c r="D137" s="6" t="s">
        <v>174</v>
      </c>
      <c r="E137" s="6">
        <v>60335</v>
      </c>
      <c r="F137" s="8">
        <v>42960</v>
      </c>
      <c r="G137" s="6">
        <v>4</v>
      </c>
      <c r="H137" s="2" t="s">
        <v>181</v>
      </c>
      <c r="I137" s="6" t="s">
        <v>227</v>
      </c>
      <c r="J137" s="6" t="str">
        <f t="shared" si="12"/>
        <v>Female</v>
      </c>
      <c r="K137" s="5" t="str">
        <f t="shared" si="13"/>
        <v>Jane Smith</v>
      </c>
      <c r="L137" s="5" t="str" cm="1">
        <f t="array" ref="L137">IF(TRIM(C137)="",INDEX($C$2:$C$150,MATCH(MAX(COUNTIF($C$2:$C$150, $C$2:$C$150)), COUNTIF($C$2:$C$150, $C$2:$C$150), 0)),C137)</f>
        <v>Finance</v>
      </c>
      <c r="M137" t="str" cm="1">
        <f t="array" ref="M137">IF(TRIM(D137)="",INDEX($D$2:$D$150,MATCH(MAX(COUNTIF($D$2:$D$150,$D$2:$D$150)),COUNTIF($D$2:$D$150,$D$2:$D$150),0)),D137)</f>
        <v>India</v>
      </c>
      <c r="N137" s="9">
        <f t="shared" si="14"/>
        <v>60335</v>
      </c>
      <c r="O137" s="10">
        <f t="shared" si="15"/>
        <v>42960</v>
      </c>
      <c r="P137" s="9">
        <f t="shared" si="16"/>
        <v>4</v>
      </c>
      <c r="Q137" s="5" t="str">
        <f t="shared" si="17"/>
        <v>user59@example.com</v>
      </c>
    </row>
    <row r="138" spans="1:17" x14ac:dyDescent="0.35">
      <c r="A138" s="6" t="s">
        <v>146</v>
      </c>
      <c r="B138" s="6" t="s">
        <v>164</v>
      </c>
      <c r="C138" s="6" t="s">
        <v>167</v>
      </c>
      <c r="D138" s="6" t="s">
        <v>172</v>
      </c>
      <c r="E138" s="6">
        <v>84968</v>
      </c>
      <c r="F138" s="8">
        <v>42967</v>
      </c>
      <c r="H138" s="2" t="s">
        <v>181</v>
      </c>
      <c r="I138" s="6" t="s">
        <v>276</v>
      </c>
      <c r="J138" s="6" t="str">
        <f t="shared" si="12"/>
        <v>Female</v>
      </c>
      <c r="K138" s="5" t="str">
        <f t="shared" si="13"/>
        <v>Chris Lee</v>
      </c>
      <c r="L138" s="5" t="str" cm="1">
        <f t="array" ref="L138">IF(TRIM(C138)="",INDEX($C$2:$C$150,MATCH(MAX(COUNTIF($C$2:$C$150, $C$2:$C$150)), COUNTIF($C$2:$C$150, $C$2:$C$150), 0)),C138)</f>
        <v>HR</v>
      </c>
      <c r="M138" t="str" cm="1">
        <f t="array" ref="M138">IF(TRIM(D138)="",INDEX($D$2:$D$150,MATCH(MAX(COUNTIF($D$2:$D$150,$D$2:$D$150)),COUNTIF($D$2:$D$150,$D$2:$D$150),0)),D138)</f>
        <v>Germany</v>
      </c>
      <c r="N138" s="9">
        <f t="shared" si="14"/>
        <v>84968</v>
      </c>
      <c r="O138" s="10">
        <f t="shared" si="15"/>
        <v>42967</v>
      </c>
      <c r="P138" s="9">
        <f t="shared" si="16"/>
        <v>2.879032258064516</v>
      </c>
      <c r="Q138" s="5" t="str">
        <f t="shared" si="17"/>
        <v>user165@example.com</v>
      </c>
    </row>
    <row r="139" spans="1:17" x14ac:dyDescent="0.35">
      <c r="A139" s="6" t="s">
        <v>147</v>
      </c>
      <c r="B139" s="6" t="s">
        <v>164</v>
      </c>
      <c r="C139" s="6" t="s">
        <v>170</v>
      </c>
      <c r="D139" s="6" t="s">
        <v>176</v>
      </c>
      <c r="E139" s="6">
        <v>84750</v>
      </c>
      <c r="F139" s="8">
        <v>42974</v>
      </c>
      <c r="G139" s="6">
        <v>4</v>
      </c>
      <c r="H139" s="2" t="s">
        <v>181</v>
      </c>
      <c r="I139" s="6" t="s">
        <v>195</v>
      </c>
      <c r="J139" s="6" t="str">
        <f t="shared" si="12"/>
        <v>Female</v>
      </c>
      <c r="K139" s="5" t="str">
        <f t="shared" si="13"/>
        <v>Chris Lee</v>
      </c>
      <c r="L139" s="5" t="str" cm="1">
        <f t="array" ref="L139">IF(TRIM(C139)="",INDEX($C$2:$C$150,MATCH(MAX(COUNTIF($C$2:$C$150, $C$2:$C$150)), COUNTIF($C$2:$C$150, $C$2:$C$150), 0)),C139)</f>
        <v>Marketing</v>
      </c>
      <c r="M139" t="str" cm="1">
        <f t="array" ref="M139">IF(TRIM(D139)="",INDEX($D$2:$D$150,MATCH(MAX(COUNTIF($D$2:$D$150,$D$2:$D$150)),COUNTIF($D$2:$D$150,$D$2:$D$150),0)),D139)</f>
        <v>Australia</v>
      </c>
      <c r="N139" s="9">
        <f t="shared" si="14"/>
        <v>84750</v>
      </c>
      <c r="O139" s="10">
        <f t="shared" si="15"/>
        <v>42974</v>
      </c>
      <c r="P139" s="9">
        <f t="shared" si="16"/>
        <v>4</v>
      </c>
      <c r="Q139" s="5" t="str">
        <f t="shared" si="17"/>
        <v>user3@example.com</v>
      </c>
    </row>
    <row r="140" spans="1:17" x14ac:dyDescent="0.35">
      <c r="A140" s="6" t="s">
        <v>148</v>
      </c>
      <c r="B140" s="6" t="s">
        <v>165</v>
      </c>
      <c r="C140" s="6" t="s">
        <v>169</v>
      </c>
      <c r="E140" s="6">
        <v>73348</v>
      </c>
      <c r="F140" s="8">
        <v>42981</v>
      </c>
      <c r="G140" s="6">
        <v>2</v>
      </c>
      <c r="H140" s="2" t="s">
        <v>180</v>
      </c>
      <c r="I140" s="6" t="s">
        <v>243</v>
      </c>
      <c r="J140" s="6" t="str">
        <f t="shared" si="12"/>
        <v>Male</v>
      </c>
      <c r="K140" s="5" t="str">
        <f t="shared" si="13"/>
        <v>Bob Johnson</v>
      </c>
      <c r="L140" s="5" t="str" cm="1">
        <f t="array" ref="L140">IF(TRIM(C140)="",INDEX($C$2:$C$150,MATCH(MAX(COUNTIF($C$2:$C$150, $C$2:$C$150)), COUNTIF($C$2:$C$150, $C$2:$C$150), 0)),C140)</f>
        <v>IT</v>
      </c>
      <c r="M140" t="str" cm="1">
        <f t="array" ref="M140">IF(TRIM(D140)="",INDEX($D$2:$D$150,MATCH(MAX(COUNTIF($D$2:$D$150,$D$2:$D$150)),COUNTIF($D$2:$D$150,$D$2:$D$150),0)),D140)</f>
        <v>India</v>
      </c>
      <c r="N140" s="9">
        <f t="shared" si="14"/>
        <v>73348</v>
      </c>
      <c r="O140" s="10">
        <f t="shared" si="15"/>
        <v>42981</v>
      </c>
      <c r="P140" s="9">
        <f t="shared" si="16"/>
        <v>2</v>
      </c>
      <c r="Q140" s="5" t="str">
        <f t="shared" si="17"/>
        <v>user22@example.com</v>
      </c>
    </row>
    <row r="141" spans="1:17" x14ac:dyDescent="0.35">
      <c r="A141" s="6" t="s">
        <v>149</v>
      </c>
      <c r="B141" s="6" t="s">
        <v>164</v>
      </c>
      <c r="C141" s="6" t="s">
        <v>168</v>
      </c>
      <c r="D141" s="6" t="s">
        <v>173</v>
      </c>
      <c r="E141" s="6" t="s">
        <v>177</v>
      </c>
      <c r="F141" s="8">
        <v>42988</v>
      </c>
      <c r="G141" s="6">
        <v>4</v>
      </c>
      <c r="H141" s="2" t="s">
        <v>180</v>
      </c>
      <c r="I141" s="6" t="s">
        <v>182</v>
      </c>
      <c r="J141" s="6" t="str">
        <f t="shared" si="12"/>
        <v>Male</v>
      </c>
      <c r="K141" s="5" t="str">
        <f t="shared" si="13"/>
        <v>Chris Lee</v>
      </c>
      <c r="L141" s="5" t="str" cm="1">
        <f t="array" ref="L141">IF(TRIM(C141)="",INDEX($C$2:$C$150,MATCH(MAX(COUNTIF($C$2:$C$150, $C$2:$C$150)), COUNTIF($C$2:$C$150, $C$2:$C$150), 0)),C141)</f>
        <v>Sales</v>
      </c>
      <c r="M141" t="str" cm="1">
        <f t="array" ref="M141">IF(TRIM(D141)="",INDEX($D$2:$D$150,MATCH(MAX(COUNTIF($D$2:$D$150,$D$2:$D$150)),COUNTIF($D$2:$D$150,$D$2:$D$150),0)),D141)</f>
        <v>USA</v>
      </c>
      <c r="N141" s="9">
        <f t="shared" si="14"/>
        <v>66280.929577464791</v>
      </c>
      <c r="O141" s="10">
        <f t="shared" si="15"/>
        <v>42988</v>
      </c>
      <c r="P141" s="9">
        <f t="shared" si="16"/>
        <v>4</v>
      </c>
      <c r="Q141" s="5" t="str">
        <f t="shared" si="17"/>
        <v>Unknown</v>
      </c>
    </row>
    <row r="142" spans="1:17" x14ac:dyDescent="0.35">
      <c r="A142" s="6" t="s">
        <v>150</v>
      </c>
      <c r="B142" s="6" t="s">
        <v>162</v>
      </c>
      <c r="C142" s="6" t="s">
        <v>170</v>
      </c>
      <c r="D142" s="6" t="s">
        <v>173</v>
      </c>
      <c r="E142" s="6">
        <v>66882</v>
      </c>
      <c r="F142" s="8">
        <v>42995</v>
      </c>
      <c r="G142" s="6">
        <v>5</v>
      </c>
      <c r="H142" s="2" t="s">
        <v>181</v>
      </c>
      <c r="I142" s="6" t="s">
        <v>207</v>
      </c>
      <c r="J142" s="6" t="str">
        <f t="shared" si="12"/>
        <v>Female</v>
      </c>
      <c r="K142" s="5" t="str">
        <f t="shared" si="13"/>
        <v>Jane Smith</v>
      </c>
      <c r="L142" s="5" t="str" cm="1">
        <f t="array" ref="L142">IF(TRIM(C142)="",INDEX($C$2:$C$150,MATCH(MAX(COUNTIF($C$2:$C$150, $C$2:$C$150)), COUNTIF($C$2:$C$150, $C$2:$C$150), 0)),C142)</f>
        <v>Marketing</v>
      </c>
      <c r="M142" t="str" cm="1">
        <f t="array" ref="M142">IF(TRIM(D142)="",INDEX($D$2:$D$150,MATCH(MAX(COUNTIF($D$2:$D$150,$D$2:$D$150)),COUNTIF($D$2:$D$150,$D$2:$D$150),0)),D142)</f>
        <v>USA</v>
      </c>
      <c r="N142" s="9">
        <f t="shared" si="14"/>
        <v>66882</v>
      </c>
      <c r="O142" s="10">
        <f t="shared" si="15"/>
        <v>42995</v>
      </c>
      <c r="P142" s="9">
        <f t="shared" si="16"/>
        <v>5</v>
      </c>
      <c r="Q142" s="5" t="str">
        <f t="shared" si="17"/>
        <v>user103@example.com</v>
      </c>
    </row>
    <row r="143" spans="1:17" x14ac:dyDescent="0.35">
      <c r="A143" s="6" t="s">
        <v>151</v>
      </c>
      <c r="B143" s="6" t="s">
        <v>160</v>
      </c>
      <c r="C143" s="6" t="s">
        <v>170</v>
      </c>
      <c r="E143" s="6">
        <v>86775</v>
      </c>
      <c r="F143" s="8">
        <v>43002</v>
      </c>
      <c r="G143" s="6">
        <v>3</v>
      </c>
      <c r="H143" s="2" t="s">
        <v>181</v>
      </c>
      <c r="I143" s="6" t="s">
        <v>212</v>
      </c>
      <c r="J143" s="6" t="str">
        <f t="shared" si="12"/>
        <v>Female</v>
      </c>
      <c r="K143" s="5" t="str">
        <f t="shared" si="13"/>
        <v>Alice Brown</v>
      </c>
      <c r="L143" s="5" t="str" cm="1">
        <f t="array" ref="L143">IF(TRIM(C143)="",INDEX($C$2:$C$150,MATCH(MAX(COUNTIF($C$2:$C$150, $C$2:$C$150)), COUNTIF($C$2:$C$150, $C$2:$C$150), 0)),C143)</f>
        <v>Marketing</v>
      </c>
      <c r="M143" t="str" cm="1">
        <f t="array" ref="M143">IF(TRIM(D143)="",INDEX($D$2:$D$150,MATCH(MAX(COUNTIF($D$2:$D$150,$D$2:$D$150)),COUNTIF($D$2:$D$150,$D$2:$D$150),0)),D143)</f>
        <v>India</v>
      </c>
      <c r="N143" s="9">
        <f t="shared" si="14"/>
        <v>86775</v>
      </c>
      <c r="O143" s="10">
        <f t="shared" si="15"/>
        <v>43002</v>
      </c>
      <c r="P143" s="9">
        <f t="shared" si="16"/>
        <v>3</v>
      </c>
      <c r="Q143" s="5" t="str">
        <f t="shared" si="17"/>
        <v>user190@example.com</v>
      </c>
    </row>
    <row r="144" spans="1:17" x14ac:dyDescent="0.35">
      <c r="A144" s="6" t="s">
        <v>152</v>
      </c>
      <c r="B144" s="6" t="s">
        <v>164</v>
      </c>
      <c r="C144" s="6" t="s">
        <v>168</v>
      </c>
      <c r="D144" s="6" t="s">
        <v>175</v>
      </c>
      <c r="E144" s="6">
        <v>91620</v>
      </c>
      <c r="F144" s="8">
        <v>43009</v>
      </c>
      <c r="H144" s="2" t="s">
        <v>181</v>
      </c>
      <c r="I144" s="6" t="s">
        <v>277</v>
      </c>
      <c r="J144" s="6" t="str">
        <f t="shared" si="12"/>
        <v>Female</v>
      </c>
      <c r="K144" s="5" t="str">
        <f t="shared" si="13"/>
        <v>Chris Lee</v>
      </c>
      <c r="L144" s="5" t="str" cm="1">
        <f t="array" ref="L144">IF(TRIM(C144)="",INDEX($C$2:$C$150,MATCH(MAX(COUNTIF($C$2:$C$150, $C$2:$C$150)), COUNTIF($C$2:$C$150, $C$2:$C$150), 0)),C144)</f>
        <v>Sales</v>
      </c>
      <c r="M144" t="str" cm="1">
        <f t="array" ref="M144">IF(TRIM(D144)="",INDEX($D$2:$D$150,MATCH(MAX(COUNTIF($D$2:$D$150,$D$2:$D$150)),COUNTIF($D$2:$D$150,$D$2:$D$150),0)),D144)</f>
        <v>UK</v>
      </c>
      <c r="N144" s="9">
        <f t="shared" si="14"/>
        <v>91620</v>
      </c>
      <c r="O144" s="10">
        <f t="shared" si="15"/>
        <v>43009</v>
      </c>
      <c r="P144" s="9">
        <f t="shared" si="16"/>
        <v>2.879032258064516</v>
      </c>
      <c r="Q144" s="5" t="str">
        <f t="shared" si="17"/>
        <v>user114@example.com</v>
      </c>
    </row>
    <row r="145" spans="1:17" x14ac:dyDescent="0.35">
      <c r="A145" s="6" t="s">
        <v>153</v>
      </c>
      <c r="B145" s="6" t="s">
        <v>159</v>
      </c>
      <c r="E145" s="6">
        <v>94148</v>
      </c>
      <c r="F145" s="8">
        <v>43016</v>
      </c>
      <c r="G145" s="6">
        <v>2</v>
      </c>
      <c r="H145" s="2" t="s">
        <v>181</v>
      </c>
      <c r="I145" s="6" t="s">
        <v>278</v>
      </c>
      <c r="J145" s="6" t="str">
        <f t="shared" si="12"/>
        <v>Female</v>
      </c>
      <c r="K145" s="5" t="str">
        <f t="shared" si="13"/>
        <v>Eve Adams</v>
      </c>
      <c r="L145" s="5" t="str" cm="1">
        <f t="array" ref="L145">IF(TRIM(C145)="",INDEX($C$2:$C$150,MATCH(MAX(COUNTIF($C$2:$C$150, $C$2:$C$150)), COUNTIF($C$2:$C$150, $C$2:$C$150), 0)),C145)</f>
        <v>Marketing</v>
      </c>
      <c r="M145" t="str" cm="1">
        <f t="array" ref="M145">IF(TRIM(D145)="",INDEX($D$2:$D$150,MATCH(MAX(COUNTIF($D$2:$D$150,$D$2:$D$150)),COUNTIF($D$2:$D$150,$D$2:$D$150),0)),D145)</f>
        <v>India</v>
      </c>
      <c r="N145" s="9">
        <f t="shared" si="14"/>
        <v>94148</v>
      </c>
      <c r="O145" s="10">
        <f t="shared" si="15"/>
        <v>43016</v>
      </c>
      <c r="P145" s="9">
        <f t="shared" si="16"/>
        <v>2</v>
      </c>
      <c r="Q145" s="5" t="str">
        <f t="shared" si="17"/>
        <v>user53@example.com</v>
      </c>
    </row>
    <row r="146" spans="1:17" x14ac:dyDescent="0.35">
      <c r="A146" s="6" t="s">
        <v>154</v>
      </c>
      <c r="B146" s="6" t="s">
        <v>163</v>
      </c>
      <c r="C146" s="6" t="s">
        <v>168</v>
      </c>
      <c r="D146" s="6" t="s">
        <v>176</v>
      </c>
      <c r="E146" s="6">
        <v>35627</v>
      </c>
      <c r="F146" s="8">
        <v>43023</v>
      </c>
      <c r="G146" s="6">
        <v>5</v>
      </c>
      <c r="H146" s="2" t="s">
        <v>180</v>
      </c>
      <c r="I146" s="6" t="s">
        <v>275</v>
      </c>
      <c r="J146" s="6" t="str">
        <f t="shared" si="12"/>
        <v>Male</v>
      </c>
      <c r="K146" s="5" t="str">
        <f t="shared" si="13"/>
        <v>Sam Wilson</v>
      </c>
      <c r="L146" s="5" t="str" cm="1">
        <f t="array" ref="L146">IF(TRIM(C146)="",INDEX($C$2:$C$150,MATCH(MAX(COUNTIF($C$2:$C$150, $C$2:$C$150)), COUNTIF($C$2:$C$150, $C$2:$C$150), 0)),C146)</f>
        <v>Sales</v>
      </c>
      <c r="M146" t="str" cm="1">
        <f t="array" ref="M146">IF(TRIM(D146)="",INDEX($D$2:$D$150,MATCH(MAX(COUNTIF($D$2:$D$150,$D$2:$D$150)),COUNTIF($D$2:$D$150,$D$2:$D$150),0)),D146)</f>
        <v>Australia</v>
      </c>
      <c r="N146" s="9">
        <f t="shared" si="14"/>
        <v>35627</v>
      </c>
      <c r="O146" s="10">
        <f t="shared" si="15"/>
        <v>43023</v>
      </c>
      <c r="P146" s="9">
        <f t="shared" si="16"/>
        <v>5</v>
      </c>
      <c r="Q146" s="5" t="str">
        <f t="shared" si="17"/>
        <v>user188@example.com</v>
      </c>
    </row>
    <row r="147" spans="1:17" x14ac:dyDescent="0.35">
      <c r="A147" s="6" t="s">
        <v>155</v>
      </c>
      <c r="B147" s="6" t="s">
        <v>161</v>
      </c>
      <c r="C147" s="6" t="s">
        <v>170</v>
      </c>
      <c r="D147" s="6" t="s">
        <v>173</v>
      </c>
      <c r="E147" s="6">
        <v>57141</v>
      </c>
      <c r="F147" s="8">
        <v>43030</v>
      </c>
      <c r="G147" s="6">
        <v>2</v>
      </c>
      <c r="H147" s="2" t="s">
        <v>180</v>
      </c>
      <c r="I147" s="6" t="s">
        <v>276</v>
      </c>
      <c r="J147" s="6" t="str">
        <f t="shared" si="12"/>
        <v>Male</v>
      </c>
      <c r="K147" s="5" t="str">
        <f t="shared" si="13"/>
        <v>John Doe</v>
      </c>
      <c r="L147" s="5" t="str" cm="1">
        <f t="array" ref="L147">IF(TRIM(C147)="",INDEX($C$2:$C$150,MATCH(MAX(COUNTIF($C$2:$C$150, $C$2:$C$150)), COUNTIF($C$2:$C$150, $C$2:$C$150), 0)),C147)</f>
        <v>Marketing</v>
      </c>
      <c r="M147" t="str" cm="1">
        <f t="array" ref="M147">IF(TRIM(D147)="",INDEX($D$2:$D$150,MATCH(MAX(COUNTIF($D$2:$D$150,$D$2:$D$150)),COUNTIF($D$2:$D$150,$D$2:$D$150),0)),D147)</f>
        <v>USA</v>
      </c>
      <c r="N147" s="9">
        <f t="shared" si="14"/>
        <v>57141</v>
      </c>
      <c r="O147" s="10">
        <f t="shared" si="15"/>
        <v>43030</v>
      </c>
      <c r="P147" s="9">
        <f t="shared" si="16"/>
        <v>2</v>
      </c>
      <c r="Q147" s="5" t="str">
        <f t="shared" si="17"/>
        <v>user165@example.com</v>
      </c>
    </row>
    <row r="148" spans="1:17" x14ac:dyDescent="0.35">
      <c r="A148" s="6" t="s">
        <v>156</v>
      </c>
      <c r="B148" s="6" t="s">
        <v>165</v>
      </c>
      <c r="C148" s="6" t="s">
        <v>168</v>
      </c>
      <c r="D148" s="6" t="s">
        <v>176</v>
      </c>
      <c r="E148" s="6">
        <v>65270</v>
      </c>
      <c r="F148" s="8">
        <v>43037</v>
      </c>
      <c r="G148" s="6">
        <v>1</v>
      </c>
      <c r="H148" s="2" t="s">
        <v>180</v>
      </c>
      <c r="I148" s="6" t="s">
        <v>279</v>
      </c>
      <c r="J148" s="6" t="str">
        <f t="shared" si="12"/>
        <v>Male</v>
      </c>
      <c r="K148" s="5" t="str">
        <f t="shared" si="13"/>
        <v>Bob Johnson</v>
      </c>
      <c r="L148" s="5" t="str" cm="1">
        <f t="array" ref="L148">IF(TRIM(C148)="",INDEX($C$2:$C$150,MATCH(MAX(COUNTIF($C$2:$C$150, $C$2:$C$150)), COUNTIF($C$2:$C$150, $C$2:$C$150), 0)),C148)</f>
        <v>Sales</v>
      </c>
      <c r="M148" t="str" cm="1">
        <f t="array" ref="M148">IF(TRIM(D148)="",INDEX($D$2:$D$150,MATCH(MAX(COUNTIF($D$2:$D$150,$D$2:$D$150)),COUNTIF($D$2:$D$150,$D$2:$D$150),0)),D148)</f>
        <v>Australia</v>
      </c>
      <c r="N148" s="9">
        <f t="shared" si="14"/>
        <v>65270</v>
      </c>
      <c r="O148" s="10">
        <f t="shared" si="15"/>
        <v>43037</v>
      </c>
      <c r="P148" s="9">
        <f t="shared" si="16"/>
        <v>1</v>
      </c>
      <c r="Q148" s="5" t="str">
        <f t="shared" si="17"/>
        <v>user163@example.com</v>
      </c>
    </row>
    <row r="149" spans="1:17" x14ac:dyDescent="0.35">
      <c r="A149" s="6" t="s">
        <v>157</v>
      </c>
      <c r="B149" s="6" t="s">
        <v>165</v>
      </c>
      <c r="D149" s="6" t="s">
        <v>175</v>
      </c>
      <c r="E149" s="6">
        <v>67335</v>
      </c>
      <c r="F149" s="8">
        <v>43044</v>
      </c>
      <c r="G149" s="6">
        <v>1</v>
      </c>
      <c r="H149" s="2" t="s">
        <v>180</v>
      </c>
      <c r="I149" s="6" t="s">
        <v>233</v>
      </c>
      <c r="J149" s="6" t="str">
        <f t="shared" si="12"/>
        <v>Male</v>
      </c>
      <c r="K149" s="5" t="str">
        <f t="shared" si="13"/>
        <v>Bob Johnson</v>
      </c>
      <c r="L149" s="5" t="str" cm="1">
        <f t="array" ref="L149">IF(TRIM(C149)="",INDEX($C$2:$C$150,MATCH(MAX(COUNTIF($C$2:$C$150, $C$2:$C$150)), COUNTIF($C$2:$C$150, $C$2:$C$150), 0)),C149)</f>
        <v>Marketing</v>
      </c>
      <c r="M149" t="str" cm="1">
        <f t="array" ref="M149">IF(TRIM(D149)="",INDEX($D$2:$D$150,MATCH(MAX(COUNTIF($D$2:$D$150,$D$2:$D$150)),COUNTIF($D$2:$D$150,$D$2:$D$150),0)),D149)</f>
        <v>UK</v>
      </c>
      <c r="N149" s="9">
        <f t="shared" si="14"/>
        <v>67335</v>
      </c>
      <c r="O149" s="10">
        <f t="shared" si="15"/>
        <v>43044</v>
      </c>
      <c r="P149" s="9">
        <f t="shared" si="16"/>
        <v>1</v>
      </c>
      <c r="Q149" s="5" t="str">
        <f t="shared" si="17"/>
        <v>user112@example.com</v>
      </c>
    </row>
    <row r="150" spans="1:17" ht="15" customHeight="1" x14ac:dyDescent="0.35">
      <c r="A150" s="6" t="s">
        <v>158</v>
      </c>
      <c r="B150" s="6" t="s">
        <v>163</v>
      </c>
      <c r="C150" s="6" t="s">
        <v>170</v>
      </c>
      <c r="D150" s="6" t="s">
        <v>174</v>
      </c>
      <c r="E150" s="6">
        <v>98475</v>
      </c>
      <c r="F150" s="8">
        <v>43051</v>
      </c>
      <c r="G150" s="6">
        <v>5</v>
      </c>
      <c r="H150" s="2" t="s">
        <v>180</v>
      </c>
      <c r="I150" s="6" t="s">
        <v>280</v>
      </c>
      <c r="J150" s="6" t="str">
        <f t="shared" si="12"/>
        <v>Male</v>
      </c>
      <c r="K150" s="5" t="str">
        <f t="shared" si="13"/>
        <v>Sam Wilson</v>
      </c>
      <c r="L150" s="5" t="str" cm="1">
        <f t="array" ref="L150">IF(TRIM(C150)="",INDEX($C$2:$C$150,MATCH(MAX(COUNTIF($C$2:$C$150, $C$2:$C$150)), COUNTIF($C$2:$C$150, $C$2:$C$150), 0)),C150)</f>
        <v>Marketing</v>
      </c>
      <c r="M150" t="str" cm="1">
        <f t="array" ref="M150">IF(TRIM(D150)="",INDEX($D$2:$D$150,MATCH(MAX(COUNTIF($D$2:$D$150,$D$2:$D$150)),COUNTIF($D$2:$D$150,$D$2:$D$150),0)),D150)</f>
        <v>India</v>
      </c>
      <c r="N150" s="9">
        <f t="shared" si="14"/>
        <v>98475</v>
      </c>
      <c r="O150" s="10">
        <f t="shared" si="15"/>
        <v>43051</v>
      </c>
      <c r="P150" s="9">
        <f t="shared" si="16"/>
        <v>5</v>
      </c>
      <c r="Q150" s="5" t="str">
        <f t="shared" si="17"/>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F771-A7C1-422F-A458-B0176C1E19CA}">
  <dimension ref="A1:K150"/>
  <sheetViews>
    <sheetView zoomScale="85" zoomScaleNormal="85" workbookViewId="0">
      <selection sqref="A1:XFD1048576"/>
    </sheetView>
  </sheetViews>
  <sheetFormatPr defaultColWidth="8.90625" defaultRowHeight="14.5" x14ac:dyDescent="0.35"/>
  <cols>
    <col min="1" max="2" width="15.81640625" style="6" customWidth="1"/>
    <col min="4" max="7" width="15.81640625" style="6" customWidth="1"/>
    <col min="8" max="8" width="19.54296875" style="6" customWidth="1"/>
    <col min="9" max="9" width="15.81640625" style="6" customWidth="1"/>
    <col min="10" max="10" width="24.54296875" style="6" customWidth="1"/>
    <col min="11" max="11" width="15.81640625" style="6" customWidth="1"/>
    <col min="12" max="16384" width="8.90625" style="5"/>
  </cols>
  <sheetData>
    <row r="1" spans="1:11" x14ac:dyDescent="0.35">
      <c r="A1" s="13" t="s">
        <v>0</v>
      </c>
      <c r="B1" s="13" t="s">
        <v>1</v>
      </c>
      <c r="C1" s="13" t="s">
        <v>2</v>
      </c>
      <c r="D1" s="13" t="s">
        <v>3</v>
      </c>
      <c r="E1" s="13" t="s">
        <v>4</v>
      </c>
      <c r="F1" s="13" t="s">
        <v>5</v>
      </c>
      <c r="G1" s="13" t="s">
        <v>6</v>
      </c>
      <c r="H1" s="13" t="s">
        <v>7</v>
      </c>
      <c r="I1" s="13" t="s">
        <v>8</v>
      </c>
      <c r="K1" s="5"/>
    </row>
    <row r="2" spans="1:11" x14ac:dyDescent="0.35">
      <c r="A2" s="6" t="s">
        <v>10</v>
      </c>
      <c r="B2" s="6" t="s">
        <v>159</v>
      </c>
      <c r="C2" s="6" t="s">
        <v>167</v>
      </c>
      <c r="D2" s="6" t="s">
        <v>172</v>
      </c>
      <c r="E2" s="11">
        <v>54255</v>
      </c>
      <c r="F2" s="12">
        <v>42015</v>
      </c>
      <c r="G2" s="11">
        <v>1</v>
      </c>
      <c r="H2" s="6" t="s">
        <v>181</v>
      </c>
      <c r="I2" s="6" t="s">
        <v>183</v>
      </c>
      <c r="K2" s="5"/>
    </row>
    <row r="3" spans="1:11" x14ac:dyDescent="0.35">
      <c r="A3" s="6" t="s">
        <v>11</v>
      </c>
      <c r="B3" s="6" t="s">
        <v>160</v>
      </c>
      <c r="C3" s="6" t="s">
        <v>166</v>
      </c>
      <c r="D3" s="6" t="s">
        <v>172</v>
      </c>
      <c r="E3" s="11">
        <v>63184</v>
      </c>
      <c r="F3" s="12">
        <v>42022</v>
      </c>
      <c r="G3" s="11">
        <v>2</v>
      </c>
      <c r="H3" s="6" t="s">
        <v>181</v>
      </c>
      <c r="I3" s="6" t="s">
        <v>184</v>
      </c>
      <c r="K3" s="5"/>
    </row>
    <row r="4" spans="1:11" x14ac:dyDescent="0.35">
      <c r="A4" s="6" t="s">
        <v>12</v>
      </c>
      <c r="B4" s="6" t="s">
        <v>161</v>
      </c>
      <c r="C4" s="6" t="s">
        <v>168</v>
      </c>
      <c r="D4" s="6" t="s">
        <v>173</v>
      </c>
      <c r="E4" s="11">
        <v>94406</v>
      </c>
      <c r="F4" s="12">
        <v>42029</v>
      </c>
      <c r="G4" s="11">
        <v>1</v>
      </c>
      <c r="H4" s="6" t="s">
        <v>180</v>
      </c>
      <c r="I4" s="6" t="s">
        <v>185</v>
      </c>
      <c r="K4" s="5"/>
    </row>
    <row r="5" spans="1:11" x14ac:dyDescent="0.35">
      <c r="A5" s="6" t="s">
        <v>13</v>
      </c>
      <c r="B5" s="6" t="s">
        <v>162</v>
      </c>
      <c r="C5" s="6" t="s">
        <v>168</v>
      </c>
      <c r="D5" s="6" t="s">
        <v>172</v>
      </c>
      <c r="E5" s="11">
        <v>64120</v>
      </c>
      <c r="F5" s="12">
        <v>42036</v>
      </c>
      <c r="G5" s="11">
        <v>1</v>
      </c>
      <c r="H5" s="6" t="s">
        <v>181</v>
      </c>
      <c r="I5" s="6" t="s">
        <v>186</v>
      </c>
      <c r="K5" s="5"/>
    </row>
    <row r="6" spans="1:11" x14ac:dyDescent="0.35">
      <c r="A6" s="6" t="s">
        <v>14</v>
      </c>
      <c r="B6" s="6" t="s">
        <v>160</v>
      </c>
      <c r="C6" s="6" t="s">
        <v>169</v>
      </c>
      <c r="D6" s="6" t="s">
        <v>174</v>
      </c>
      <c r="E6" s="11">
        <v>78421</v>
      </c>
      <c r="F6" s="12">
        <v>42043</v>
      </c>
      <c r="G6" s="11">
        <v>2</v>
      </c>
      <c r="H6" s="6" t="s">
        <v>181</v>
      </c>
      <c r="I6" s="6" t="s">
        <v>187</v>
      </c>
      <c r="K6" s="5"/>
    </row>
    <row r="7" spans="1:11" x14ac:dyDescent="0.35">
      <c r="A7" s="6" t="s">
        <v>15</v>
      </c>
      <c r="B7" s="6" t="s">
        <v>163</v>
      </c>
      <c r="C7" s="6" t="s">
        <v>168</v>
      </c>
      <c r="D7" s="6" t="s">
        <v>174</v>
      </c>
      <c r="E7" s="11">
        <v>67721</v>
      </c>
      <c r="F7" s="12">
        <v>42050</v>
      </c>
      <c r="G7" s="11">
        <v>2.879032258064516</v>
      </c>
      <c r="H7" s="6" t="s">
        <v>180</v>
      </c>
      <c r="I7" s="6" t="s">
        <v>185</v>
      </c>
      <c r="K7" s="5"/>
    </row>
    <row r="8" spans="1:11" x14ac:dyDescent="0.35">
      <c r="A8" s="6" t="s">
        <v>16</v>
      </c>
      <c r="B8" s="6" t="s">
        <v>164</v>
      </c>
      <c r="C8" s="6" t="s">
        <v>170</v>
      </c>
      <c r="D8" s="6" t="s">
        <v>174</v>
      </c>
      <c r="E8" s="11">
        <v>35364</v>
      </c>
      <c r="F8" s="12">
        <v>42057</v>
      </c>
      <c r="G8" s="11">
        <v>2</v>
      </c>
      <c r="H8" s="6" t="s">
        <v>181</v>
      </c>
      <c r="I8" s="6" t="s">
        <v>188</v>
      </c>
      <c r="K8" s="5"/>
    </row>
    <row r="9" spans="1:11" x14ac:dyDescent="0.35">
      <c r="A9" s="6" t="s">
        <v>17</v>
      </c>
      <c r="B9" s="6" t="s">
        <v>160</v>
      </c>
      <c r="C9" s="6" t="s">
        <v>169</v>
      </c>
      <c r="D9" s="6" t="s">
        <v>172</v>
      </c>
      <c r="E9" s="11">
        <v>97881</v>
      </c>
      <c r="F9" s="12">
        <v>42064</v>
      </c>
      <c r="G9" s="11">
        <v>2.879032258064516</v>
      </c>
      <c r="H9" s="6" t="s">
        <v>181</v>
      </c>
      <c r="I9" s="6" t="s">
        <v>189</v>
      </c>
      <c r="K9" s="5"/>
    </row>
    <row r="10" spans="1:11" x14ac:dyDescent="0.35">
      <c r="A10" s="6" t="s">
        <v>18</v>
      </c>
      <c r="B10" s="6" t="s">
        <v>164</v>
      </c>
      <c r="C10" s="6" t="s">
        <v>167</v>
      </c>
      <c r="D10" s="6" t="s">
        <v>175</v>
      </c>
      <c r="E10" s="11">
        <v>91846</v>
      </c>
      <c r="F10" s="12">
        <v>42071</v>
      </c>
      <c r="G10" s="11">
        <v>2.879032258064516</v>
      </c>
      <c r="H10" s="6" t="s">
        <v>180</v>
      </c>
      <c r="I10" s="6" t="s">
        <v>190</v>
      </c>
      <c r="K10" s="5"/>
    </row>
    <row r="11" spans="1:11" x14ac:dyDescent="0.35">
      <c r="A11" s="6" t="s">
        <v>19</v>
      </c>
      <c r="B11" s="6" t="s">
        <v>163</v>
      </c>
      <c r="C11" s="6" t="s">
        <v>166</v>
      </c>
      <c r="D11" s="6" t="s">
        <v>175</v>
      </c>
      <c r="E11" s="11">
        <v>64247</v>
      </c>
      <c r="F11" s="12">
        <v>42078</v>
      </c>
      <c r="G11" s="11">
        <v>1</v>
      </c>
      <c r="H11" s="6" t="s">
        <v>180</v>
      </c>
      <c r="I11" s="6" t="s">
        <v>191</v>
      </c>
      <c r="K11" s="5"/>
    </row>
    <row r="12" spans="1:11" x14ac:dyDescent="0.35">
      <c r="A12" s="6" t="s">
        <v>20</v>
      </c>
      <c r="B12" s="6" t="s">
        <v>163</v>
      </c>
      <c r="C12" s="6" t="s">
        <v>169</v>
      </c>
      <c r="D12" s="6" t="s">
        <v>173</v>
      </c>
      <c r="E12" s="11">
        <v>91180</v>
      </c>
      <c r="F12" s="12">
        <v>42085</v>
      </c>
      <c r="G12" s="11">
        <v>5</v>
      </c>
      <c r="H12" s="6" t="s">
        <v>180</v>
      </c>
      <c r="I12" s="6" t="s">
        <v>192</v>
      </c>
      <c r="K12" s="5"/>
    </row>
    <row r="13" spans="1:11" x14ac:dyDescent="0.35">
      <c r="A13" s="6" t="s">
        <v>21</v>
      </c>
      <c r="B13" s="6" t="s">
        <v>165</v>
      </c>
      <c r="C13" s="6" t="s">
        <v>168</v>
      </c>
      <c r="D13" s="6" t="s">
        <v>174</v>
      </c>
      <c r="E13" s="11">
        <v>96418</v>
      </c>
      <c r="F13" s="12">
        <v>42092</v>
      </c>
      <c r="G13" s="11">
        <v>5</v>
      </c>
      <c r="H13" s="6" t="s">
        <v>180</v>
      </c>
      <c r="I13" s="6" t="s">
        <v>183</v>
      </c>
      <c r="K13" s="5"/>
    </row>
    <row r="14" spans="1:11" x14ac:dyDescent="0.35">
      <c r="A14" s="6" t="s">
        <v>22</v>
      </c>
      <c r="B14" s="6" t="s">
        <v>163</v>
      </c>
      <c r="C14" s="6" t="s">
        <v>170</v>
      </c>
      <c r="D14" s="6" t="s">
        <v>174</v>
      </c>
      <c r="E14" s="11">
        <v>62158</v>
      </c>
      <c r="F14" s="12">
        <v>42099</v>
      </c>
      <c r="G14" s="11">
        <v>4</v>
      </c>
      <c r="H14" s="6" t="s">
        <v>180</v>
      </c>
      <c r="I14" s="6" t="s">
        <v>193</v>
      </c>
      <c r="K14" s="5"/>
    </row>
    <row r="15" spans="1:11" x14ac:dyDescent="0.35">
      <c r="A15" s="6" t="s">
        <v>23</v>
      </c>
      <c r="B15" s="6" t="s">
        <v>162</v>
      </c>
      <c r="C15" s="6" t="s">
        <v>167</v>
      </c>
      <c r="D15" s="6" t="s">
        <v>174</v>
      </c>
      <c r="E15" s="11">
        <v>59894</v>
      </c>
      <c r="F15" s="12">
        <v>42106</v>
      </c>
      <c r="G15" s="11">
        <v>2</v>
      </c>
      <c r="H15" s="6" t="s">
        <v>181</v>
      </c>
      <c r="I15" s="6" t="s">
        <v>194</v>
      </c>
      <c r="K15" s="5"/>
    </row>
    <row r="16" spans="1:11" x14ac:dyDescent="0.35">
      <c r="A16" s="6" t="s">
        <v>24</v>
      </c>
      <c r="B16" s="6" t="s">
        <v>178</v>
      </c>
      <c r="C16" s="6" t="s">
        <v>169</v>
      </c>
      <c r="D16" s="6" t="s">
        <v>174</v>
      </c>
      <c r="E16" s="11">
        <v>92443</v>
      </c>
      <c r="F16" s="12">
        <v>42113</v>
      </c>
      <c r="G16" s="11">
        <v>3</v>
      </c>
      <c r="H16" s="6" t="s">
        <v>178</v>
      </c>
      <c r="I16" s="6" t="s">
        <v>195</v>
      </c>
      <c r="K16" s="5"/>
    </row>
    <row r="17" spans="1:11" x14ac:dyDescent="0.35">
      <c r="A17" s="6" t="s">
        <v>25</v>
      </c>
      <c r="B17" s="6" t="s">
        <v>165</v>
      </c>
      <c r="C17" s="6" t="s">
        <v>170</v>
      </c>
      <c r="D17" s="6" t="s">
        <v>172</v>
      </c>
      <c r="E17" s="11">
        <v>90271</v>
      </c>
      <c r="F17" s="12">
        <v>42120</v>
      </c>
      <c r="G17" s="11">
        <v>2.879032258064516</v>
      </c>
      <c r="H17" s="6" t="s">
        <v>180</v>
      </c>
      <c r="I17" s="6" t="s">
        <v>196</v>
      </c>
      <c r="K17" s="5"/>
    </row>
    <row r="18" spans="1:11" x14ac:dyDescent="0.35">
      <c r="A18" s="6" t="s">
        <v>26</v>
      </c>
      <c r="B18" s="6" t="s">
        <v>162</v>
      </c>
      <c r="C18" s="6" t="s">
        <v>166</v>
      </c>
      <c r="D18" s="6" t="s">
        <v>176</v>
      </c>
      <c r="E18" s="11">
        <v>41341</v>
      </c>
      <c r="F18" s="12">
        <v>42127</v>
      </c>
      <c r="G18" s="11">
        <v>1</v>
      </c>
      <c r="H18" s="6" t="s">
        <v>181</v>
      </c>
      <c r="I18" s="6" t="s">
        <v>197</v>
      </c>
      <c r="K18" s="5"/>
    </row>
    <row r="19" spans="1:11" x14ac:dyDescent="0.35">
      <c r="A19" s="6" t="s">
        <v>27</v>
      </c>
      <c r="B19" s="6" t="s">
        <v>160</v>
      </c>
      <c r="C19" s="6" t="s">
        <v>166</v>
      </c>
      <c r="D19" s="6" t="s">
        <v>175</v>
      </c>
      <c r="E19" s="11">
        <v>73602</v>
      </c>
      <c r="F19" s="12">
        <v>42134</v>
      </c>
      <c r="G19" s="11">
        <v>2.879032258064516</v>
      </c>
      <c r="H19" s="6" t="s">
        <v>181</v>
      </c>
      <c r="I19" s="6" t="s">
        <v>198</v>
      </c>
      <c r="K19" s="5"/>
    </row>
    <row r="20" spans="1:11" x14ac:dyDescent="0.35">
      <c r="A20" s="6" t="s">
        <v>28</v>
      </c>
      <c r="B20" s="6" t="s">
        <v>159</v>
      </c>
      <c r="C20" s="6" t="s">
        <v>170</v>
      </c>
      <c r="D20" s="6" t="s">
        <v>174</v>
      </c>
      <c r="E20" s="11">
        <v>67531</v>
      </c>
      <c r="F20" s="12">
        <v>42141</v>
      </c>
      <c r="G20" s="11">
        <v>5</v>
      </c>
      <c r="H20" s="6" t="s">
        <v>181</v>
      </c>
      <c r="I20" s="6" t="s">
        <v>199</v>
      </c>
      <c r="K20" s="5"/>
    </row>
    <row r="21" spans="1:11" x14ac:dyDescent="0.35">
      <c r="A21" s="6" t="s">
        <v>29</v>
      </c>
      <c r="B21" s="6" t="s">
        <v>162</v>
      </c>
      <c r="C21" s="6" t="s">
        <v>167</v>
      </c>
      <c r="D21" s="6" t="s">
        <v>173</v>
      </c>
      <c r="E21" s="11">
        <v>66280.929577464791</v>
      </c>
      <c r="F21" s="12">
        <v>42148</v>
      </c>
      <c r="G21" s="11">
        <v>2</v>
      </c>
      <c r="H21" s="6" t="s">
        <v>181</v>
      </c>
      <c r="I21" s="6" t="s">
        <v>200</v>
      </c>
      <c r="K21" s="5"/>
    </row>
    <row r="22" spans="1:11" x14ac:dyDescent="0.35">
      <c r="A22" s="6" t="s">
        <v>30</v>
      </c>
      <c r="B22" s="6" t="s">
        <v>162</v>
      </c>
      <c r="C22" s="6" t="s">
        <v>167</v>
      </c>
      <c r="D22" s="6" t="s">
        <v>174</v>
      </c>
      <c r="E22" s="11">
        <v>98922</v>
      </c>
      <c r="F22" s="12">
        <v>42155</v>
      </c>
      <c r="G22" s="11">
        <v>4</v>
      </c>
      <c r="H22" s="6" t="s">
        <v>181</v>
      </c>
      <c r="I22" s="6" t="s">
        <v>201</v>
      </c>
      <c r="K22" s="5"/>
    </row>
    <row r="23" spans="1:11" x14ac:dyDescent="0.35">
      <c r="A23" s="6" t="s">
        <v>31</v>
      </c>
      <c r="B23" s="6" t="s">
        <v>159</v>
      </c>
      <c r="C23" s="6" t="s">
        <v>166</v>
      </c>
      <c r="D23" s="6" t="s">
        <v>174</v>
      </c>
      <c r="E23" s="11">
        <v>38333</v>
      </c>
      <c r="F23" s="12">
        <v>42162</v>
      </c>
      <c r="G23" s="11">
        <v>5</v>
      </c>
      <c r="H23" s="6" t="s">
        <v>181</v>
      </c>
      <c r="I23" s="6" t="s">
        <v>202</v>
      </c>
      <c r="K23" s="5"/>
    </row>
    <row r="24" spans="1:11" x14ac:dyDescent="0.35">
      <c r="A24" s="6" t="s">
        <v>32</v>
      </c>
      <c r="B24" s="6" t="s">
        <v>160</v>
      </c>
      <c r="C24" s="6" t="s">
        <v>170</v>
      </c>
      <c r="D24" s="6" t="s">
        <v>175</v>
      </c>
      <c r="E24" s="11">
        <v>36515</v>
      </c>
      <c r="F24" s="12">
        <v>42169</v>
      </c>
      <c r="G24" s="11">
        <v>3</v>
      </c>
      <c r="H24" s="6" t="s">
        <v>181</v>
      </c>
      <c r="I24" s="6" t="s">
        <v>203</v>
      </c>
      <c r="K24" s="5"/>
    </row>
    <row r="25" spans="1:11" x14ac:dyDescent="0.35">
      <c r="A25" s="6" t="s">
        <v>33</v>
      </c>
      <c r="B25" s="6" t="s">
        <v>163</v>
      </c>
      <c r="C25" s="6" t="s">
        <v>166</v>
      </c>
      <c r="D25" s="6" t="s">
        <v>174</v>
      </c>
      <c r="E25" s="11">
        <v>91005</v>
      </c>
      <c r="F25" s="12">
        <v>42176</v>
      </c>
      <c r="G25" s="11">
        <v>1</v>
      </c>
      <c r="H25" s="6" t="s">
        <v>180</v>
      </c>
      <c r="I25" s="6" t="s">
        <v>204</v>
      </c>
      <c r="K25" s="5"/>
    </row>
    <row r="26" spans="1:11" x14ac:dyDescent="0.35">
      <c r="A26" s="6" t="s">
        <v>34</v>
      </c>
      <c r="B26" s="6" t="s">
        <v>164</v>
      </c>
      <c r="C26" s="6" t="s">
        <v>170</v>
      </c>
      <c r="D26" s="6" t="s">
        <v>174</v>
      </c>
      <c r="E26" s="11">
        <v>52272</v>
      </c>
      <c r="F26" s="12">
        <v>42183</v>
      </c>
      <c r="G26" s="11">
        <v>3</v>
      </c>
      <c r="H26" s="6" t="s">
        <v>181</v>
      </c>
      <c r="I26" s="6" t="s">
        <v>205</v>
      </c>
      <c r="K26" s="5"/>
    </row>
    <row r="27" spans="1:11" x14ac:dyDescent="0.35">
      <c r="A27" s="6" t="s">
        <v>35</v>
      </c>
      <c r="B27" s="6" t="s">
        <v>159</v>
      </c>
      <c r="C27" s="6" t="s">
        <v>168</v>
      </c>
      <c r="D27" s="6" t="s">
        <v>172</v>
      </c>
      <c r="E27" s="11">
        <v>76518</v>
      </c>
      <c r="F27" s="12">
        <v>42190</v>
      </c>
      <c r="G27" s="11">
        <v>2</v>
      </c>
      <c r="H27" s="6" t="s">
        <v>181</v>
      </c>
      <c r="I27" s="6" t="s">
        <v>206</v>
      </c>
      <c r="K27" s="5"/>
    </row>
    <row r="28" spans="1:11" x14ac:dyDescent="0.35">
      <c r="A28" s="6" t="s">
        <v>36</v>
      </c>
      <c r="B28" s="6" t="s">
        <v>160</v>
      </c>
      <c r="C28" s="6" t="s">
        <v>169</v>
      </c>
      <c r="D28" s="6" t="s">
        <v>175</v>
      </c>
      <c r="E28" s="11">
        <v>41448</v>
      </c>
      <c r="F28" s="12">
        <v>42197</v>
      </c>
      <c r="G28" s="11">
        <v>3</v>
      </c>
      <c r="H28" s="6" t="s">
        <v>181</v>
      </c>
      <c r="I28" s="6" t="s">
        <v>207</v>
      </c>
      <c r="K28" s="5"/>
    </row>
    <row r="29" spans="1:11" x14ac:dyDescent="0.35">
      <c r="A29" s="6" t="s">
        <v>37</v>
      </c>
      <c r="B29" s="6" t="s">
        <v>161</v>
      </c>
      <c r="C29" s="6" t="s">
        <v>167</v>
      </c>
      <c r="D29" s="6" t="s">
        <v>175</v>
      </c>
      <c r="E29" s="11">
        <v>49282</v>
      </c>
      <c r="F29" s="12">
        <v>42204</v>
      </c>
      <c r="G29" s="11">
        <v>2</v>
      </c>
      <c r="H29" s="6" t="s">
        <v>181</v>
      </c>
      <c r="I29" s="6" t="s">
        <v>208</v>
      </c>
      <c r="K29" s="5"/>
    </row>
    <row r="30" spans="1:11" x14ac:dyDescent="0.35">
      <c r="A30" s="6" t="s">
        <v>38</v>
      </c>
      <c r="B30" s="6" t="s">
        <v>165</v>
      </c>
      <c r="C30" s="6" t="s">
        <v>170</v>
      </c>
      <c r="D30" s="6" t="s">
        <v>175</v>
      </c>
      <c r="E30" s="11">
        <v>92959</v>
      </c>
      <c r="F30" s="12">
        <v>42211</v>
      </c>
      <c r="G30" s="11">
        <v>5</v>
      </c>
      <c r="H30" s="6" t="s">
        <v>180</v>
      </c>
      <c r="I30" s="6" t="s">
        <v>209</v>
      </c>
      <c r="K30" s="5"/>
    </row>
    <row r="31" spans="1:11" x14ac:dyDescent="0.35">
      <c r="A31" s="6" t="s">
        <v>39</v>
      </c>
      <c r="B31" s="6" t="s">
        <v>178</v>
      </c>
      <c r="C31" s="6" t="s">
        <v>170</v>
      </c>
      <c r="D31" s="6" t="s">
        <v>174</v>
      </c>
      <c r="E31" s="11">
        <v>92259</v>
      </c>
      <c r="F31" s="12">
        <v>42533</v>
      </c>
      <c r="G31" s="11">
        <v>1</v>
      </c>
      <c r="H31" s="6" t="s">
        <v>178</v>
      </c>
      <c r="I31" s="6" t="s">
        <v>210</v>
      </c>
      <c r="K31" s="5"/>
    </row>
    <row r="32" spans="1:11" x14ac:dyDescent="0.35">
      <c r="A32" s="6" t="s">
        <v>40</v>
      </c>
      <c r="B32" s="6" t="s">
        <v>159</v>
      </c>
      <c r="C32" s="6" t="s">
        <v>167</v>
      </c>
      <c r="D32" s="6" t="s">
        <v>172</v>
      </c>
      <c r="E32" s="11">
        <v>92299</v>
      </c>
      <c r="F32" s="12">
        <v>42225</v>
      </c>
      <c r="G32" s="11">
        <v>3</v>
      </c>
      <c r="H32" s="6" t="s">
        <v>181</v>
      </c>
      <c r="I32" s="6" t="s">
        <v>211</v>
      </c>
      <c r="K32" s="5"/>
    </row>
    <row r="33" spans="1:11" x14ac:dyDescent="0.35">
      <c r="A33" s="6" t="s">
        <v>41</v>
      </c>
      <c r="B33" s="6" t="s">
        <v>163</v>
      </c>
      <c r="C33" s="6" t="s">
        <v>167</v>
      </c>
      <c r="D33" s="6" t="s">
        <v>174</v>
      </c>
      <c r="E33" s="11">
        <v>95586</v>
      </c>
      <c r="F33" s="12">
        <v>42232</v>
      </c>
      <c r="G33" s="11">
        <v>3</v>
      </c>
      <c r="H33" s="6" t="s">
        <v>180</v>
      </c>
      <c r="I33" s="6" t="s">
        <v>212</v>
      </c>
      <c r="K33" s="5"/>
    </row>
    <row r="34" spans="1:11" x14ac:dyDescent="0.35">
      <c r="A34" s="6" t="s">
        <v>42</v>
      </c>
      <c r="B34" s="6" t="s">
        <v>164</v>
      </c>
      <c r="C34" s="6" t="s">
        <v>170</v>
      </c>
      <c r="D34" s="6" t="s">
        <v>173</v>
      </c>
      <c r="E34" s="11">
        <v>95367</v>
      </c>
      <c r="F34" s="12">
        <v>42239</v>
      </c>
      <c r="G34" s="11">
        <v>2.879032258064516</v>
      </c>
      <c r="H34" s="6" t="s">
        <v>180</v>
      </c>
      <c r="I34" s="6" t="s">
        <v>213</v>
      </c>
      <c r="K34" s="5"/>
    </row>
    <row r="35" spans="1:11" x14ac:dyDescent="0.35">
      <c r="A35" s="6" t="s">
        <v>43</v>
      </c>
      <c r="B35" s="6" t="s">
        <v>161</v>
      </c>
      <c r="C35" s="6" t="s">
        <v>168</v>
      </c>
      <c r="D35" s="6" t="s">
        <v>176</v>
      </c>
      <c r="E35" s="11">
        <v>79549</v>
      </c>
      <c r="F35" s="12">
        <v>42246</v>
      </c>
      <c r="G35" s="11">
        <v>3</v>
      </c>
      <c r="H35" s="6" t="s">
        <v>180</v>
      </c>
      <c r="I35" s="6" t="s">
        <v>214</v>
      </c>
      <c r="K35" s="5"/>
    </row>
    <row r="36" spans="1:11" x14ac:dyDescent="0.35">
      <c r="A36" s="6" t="s">
        <v>44</v>
      </c>
      <c r="B36" s="6" t="s">
        <v>160</v>
      </c>
      <c r="C36" s="6" t="s">
        <v>170</v>
      </c>
      <c r="D36" s="6" t="s">
        <v>175</v>
      </c>
      <c r="E36" s="11">
        <v>54463</v>
      </c>
      <c r="F36" s="12">
        <v>42253</v>
      </c>
      <c r="G36" s="11">
        <v>4</v>
      </c>
      <c r="H36" s="6" t="s">
        <v>181</v>
      </c>
      <c r="I36" s="6" t="s">
        <v>178</v>
      </c>
      <c r="K36" s="5"/>
    </row>
    <row r="37" spans="1:11" x14ac:dyDescent="0.35">
      <c r="A37" s="6" t="s">
        <v>45</v>
      </c>
      <c r="B37" s="6" t="s">
        <v>160</v>
      </c>
      <c r="C37" s="6" t="s">
        <v>169</v>
      </c>
      <c r="D37" s="6" t="s">
        <v>173</v>
      </c>
      <c r="E37" s="11">
        <v>89781</v>
      </c>
      <c r="F37" s="12">
        <v>42260</v>
      </c>
      <c r="G37" s="11">
        <v>2.879032258064516</v>
      </c>
      <c r="H37" s="6" t="s">
        <v>181</v>
      </c>
      <c r="I37" s="6" t="s">
        <v>215</v>
      </c>
      <c r="K37" s="5"/>
    </row>
    <row r="38" spans="1:11" x14ac:dyDescent="0.35">
      <c r="A38" s="6" t="s">
        <v>46</v>
      </c>
      <c r="B38" s="6" t="s">
        <v>160</v>
      </c>
      <c r="C38" s="6" t="s">
        <v>167</v>
      </c>
      <c r="D38" s="6" t="s">
        <v>174</v>
      </c>
      <c r="E38" s="11">
        <v>64796</v>
      </c>
      <c r="F38" s="12">
        <v>42267</v>
      </c>
      <c r="G38" s="11">
        <v>2.879032258064516</v>
      </c>
      <c r="H38" s="6" t="s">
        <v>181</v>
      </c>
      <c r="I38" s="6" t="s">
        <v>216</v>
      </c>
      <c r="K38" s="5"/>
    </row>
    <row r="39" spans="1:11" x14ac:dyDescent="0.35">
      <c r="A39" s="6" t="s">
        <v>47</v>
      </c>
      <c r="B39" s="6" t="s">
        <v>161</v>
      </c>
      <c r="C39" s="6" t="s">
        <v>170</v>
      </c>
      <c r="D39" s="6" t="s">
        <v>175</v>
      </c>
      <c r="E39" s="11">
        <v>52093</v>
      </c>
      <c r="F39" s="12">
        <v>42274</v>
      </c>
      <c r="G39" s="11">
        <v>5</v>
      </c>
      <c r="H39" s="6" t="s">
        <v>180</v>
      </c>
      <c r="I39" s="6" t="s">
        <v>217</v>
      </c>
      <c r="K39" s="5"/>
    </row>
    <row r="40" spans="1:11" x14ac:dyDescent="0.35">
      <c r="A40" s="6" t="s">
        <v>48</v>
      </c>
      <c r="B40" s="6" t="s">
        <v>164</v>
      </c>
      <c r="C40" s="6" t="s">
        <v>167</v>
      </c>
      <c r="D40" s="6" t="s">
        <v>175</v>
      </c>
      <c r="E40" s="11">
        <v>48224</v>
      </c>
      <c r="F40" s="12">
        <v>42281</v>
      </c>
      <c r="G40" s="11">
        <v>3</v>
      </c>
      <c r="H40" s="6" t="s">
        <v>181</v>
      </c>
      <c r="I40" s="6" t="s">
        <v>218</v>
      </c>
      <c r="K40" s="5"/>
    </row>
    <row r="41" spans="1:11" x14ac:dyDescent="0.35">
      <c r="A41" s="6" t="s">
        <v>49</v>
      </c>
      <c r="B41" s="6" t="s">
        <v>165</v>
      </c>
      <c r="C41" s="6" t="s">
        <v>166</v>
      </c>
      <c r="D41" s="6" t="s">
        <v>175</v>
      </c>
      <c r="E41" s="11">
        <v>66280.929577464791</v>
      </c>
      <c r="F41" s="12">
        <v>42533</v>
      </c>
      <c r="G41" s="11">
        <v>4</v>
      </c>
      <c r="H41" s="6" t="s">
        <v>180</v>
      </c>
      <c r="I41" s="6" t="s">
        <v>219</v>
      </c>
      <c r="K41" s="5"/>
    </row>
    <row r="42" spans="1:11" x14ac:dyDescent="0.35">
      <c r="A42" s="6" t="s">
        <v>50</v>
      </c>
      <c r="B42" s="6" t="s">
        <v>160</v>
      </c>
      <c r="C42" s="6" t="s">
        <v>169</v>
      </c>
      <c r="D42" s="6" t="s">
        <v>172</v>
      </c>
      <c r="E42" s="11">
        <v>33956</v>
      </c>
      <c r="F42" s="12">
        <v>42295</v>
      </c>
      <c r="G42" s="11">
        <v>2.879032258064516</v>
      </c>
      <c r="H42" s="6" t="s">
        <v>181</v>
      </c>
      <c r="I42" s="6" t="s">
        <v>220</v>
      </c>
      <c r="K42" s="5"/>
    </row>
    <row r="43" spans="1:11" x14ac:dyDescent="0.35">
      <c r="A43" s="6" t="s">
        <v>51</v>
      </c>
      <c r="B43" s="6" t="s">
        <v>165</v>
      </c>
      <c r="C43" s="6" t="s">
        <v>170</v>
      </c>
      <c r="D43" s="6" t="s">
        <v>176</v>
      </c>
      <c r="E43" s="11">
        <v>64913</v>
      </c>
      <c r="F43" s="12">
        <v>42302</v>
      </c>
      <c r="G43" s="11">
        <v>1</v>
      </c>
      <c r="H43" s="6" t="s">
        <v>180</v>
      </c>
      <c r="I43" s="6" t="s">
        <v>221</v>
      </c>
      <c r="K43" s="5"/>
    </row>
    <row r="44" spans="1:11" x14ac:dyDescent="0.35">
      <c r="A44" s="6" t="s">
        <v>52</v>
      </c>
      <c r="B44" s="6" t="s">
        <v>160</v>
      </c>
      <c r="C44" s="6" t="s">
        <v>170</v>
      </c>
      <c r="D44" s="6" t="s">
        <v>176</v>
      </c>
      <c r="E44" s="11">
        <v>35326</v>
      </c>
      <c r="F44" s="12">
        <v>42309</v>
      </c>
      <c r="G44" s="11">
        <v>2.879032258064516</v>
      </c>
      <c r="H44" s="6" t="s">
        <v>181</v>
      </c>
      <c r="I44" s="6" t="s">
        <v>222</v>
      </c>
      <c r="K44" s="5"/>
    </row>
    <row r="45" spans="1:11" x14ac:dyDescent="0.35">
      <c r="A45" s="6" t="s">
        <v>53</v>
      </c>
      <c r="B45" s="6" t="s">
        <v>164</v>
      </c>
      <c r="C45" s="6" t="s">
        <v>166</v>
      </c>
      <c r="D45" s="6" t="s">
        <v>174</v>
      </c>
      <c r="E45" s="11">
        <v>81610</v>
      </c>
      <c r="F45" s="12">
        <v>42316</v>
      </c>
      <c r="G45" s="11">
        <v>1</v>
      </c>
      <c r="H45" s="6" t="s">
        <v>181</v>
      </c>
      <c r="I45" s="6" t="s">
        <v>223</v>
      </c>
      <c r="K45" s="5"/>
    </row>
    <row r="46" spans="1:11" x14ac:dyDescent="0.35">
      <c r="A46" s="6" t="s">
        <v>54</v>
      </c>
      <c r="B46" s="6" t="s">
        <v>178</v>
      </c>
      <c r="C46" s="6" t="s">
        <v>167</v>
      </c>
      <c r="D46" s="6" t="s">
        <v>174</v>
      </c>
      <c r="E46" s="11">
        <v>58962</v>
      </c>
      <c r="F46" s="12">
        <v>42323</v>
      </c>
      <c r="G46" s="11">
        <v>3</v>
      </c>
      <c r="H46" s="6" t="s">
        <v>178</v>
      </c>
      <c r="I46" s="6" t="s">
        <v>183</v>
      </c>
      <c r="K46" s="5"/>
    </row>
    <row r="47" spans="1:11" x14ac:dyDescent="0.35">
      <c r="A47" s="6" t="s">
        <v>55</v>
      </c>
      <c r="B47" s="6" t="s">
        <v>164</v>
      </c>
      <c r="C47" s="6" t="s">
        <v>169</v>
      </c>
      <c r="D47" s="6" t="s">
        <v>172</v>
      </c>
      <c r="E47" s="11">
        <v>92701</v>
      </c>
      <c r="F47" s="12">
        <v>42330</v>
      </c>
      <c r="G47" s="11">
        <v>3</v>
      </c>
      <c r="H47" s="6" t="s">
        <v>181</v>
      </c>
      <c r="I47" s="6" t="s">
        <v>224</v>
      </c>
      <c r="K47" s="5"/>
    </row>
    <row r="48" spans="1:11" x14ac:dyDescent="0.35">
      <c r="A48" s="6" t="s">
        <v>56</v>
      </c>
      <c r="B48" s="6" t="s">
        <v>164</v>
      </c>
      <c r="C48" s="6" t="s">
        <v>167</v>
      </c>
      <c r="D48" s="6" t="s">
        <v>174</v>
      </c>
      <c r="E48" s="11">
        <v>58245</v>
      </c>
      <c r="F48" s="12">
        <v>42337</v>
      </c>
      <c r="G48" s="11">
        <v>4</v>
      </c>
      <c r="H48" s="6" t="s">
        <v>181</v>
      </c>
      <c r="I48" s="6" t="s">
        <v>225</v>
      </c>
      <c r="K48" s="5"/>
    </row>
    <row r="49" spans="1:11" x14ac:dyDescent="0.35">
      <c r="A49" s="6" t="s">
        <v>57</v>
      </c>
      <c r="B49" s="6" t="s">
        <v>161</v>
      </c>
      <c r="C49" s="6" t="s">
        <v>166</v>
      </c>
      <c r="D49" s="6" t="s">
        <v>174</v>
      </c>
      <c r="E49" s="11">
        <v>66513</v>
      </c>
      <c r="F49" s="12">
        <v>42344</v>
      </c>
      <c r="G49" s="11">
        <v>2</v>
      </c>
      <c r="H49" s="6" t="s">
        <v>180</v>
      </c>
      <c r="I49" s="6" t="s">
        <v>187</v>
      </c>
      <c r="K49" s="5"/>
    </row>
    <row r="50" spans="1:11" x14ac:dyDescent="0.35">
      <c r="A50" s="6" t="s">
        <v>58</v>
      </c>
      <c r="B50" s="6" t="s">
        <v>159</v>
      </c>
      <c r="C50" s="6" t="s">
        <v>167</v>
      </c>
      <c r="D50" s="6" t="s">
        <v>172</v>
      </c>
      <c r="E50" s="11">
        <v>78720</v>
      </c>
      <c r="F50" s="12">
        <v>42351</v>
      </c>
      <c r="G50" s="11">
        <v>5</v>
      </c>
      <c r="H50" s="6" t="s">
        <v>181</v>
      </c>
      <c r="I50" s="6" t="s">
        <v>219</v>
      </c>
      <c r="K50" s="5"/>
    </row>
    <row r="51" spans="1:11" x14ac:dyDescent="0.35">
      <c r="A51" s="6" t="s">
        <v>59</v>
      </c>
      <c r="B51" s="6" t="s">
        <v>164</v>
      </c>
      <c r="C51" s="6" t="s">
        <v>170</v>
      </c>
      <c r="D51" s="6" t="s">
        <v>174</v>
      </c>
      <c r="E51" s="11">
        <v>30686</v>
      </c>
      <c r="F51" s="12">
        <v>42533</v>
      </c>
      <c r="G51" s="11">
        <v>2</v>
      </c>
      <c r="H51" s="6" t="s">
        <v>181</v>
      </c>
      <c r="I51" s="6" t="s">
        <v>226</v>
      </c>
      <c r="K51" s="5"/>
    </row>
    <row r="52" spans="1:11" x14ac:dyDescent="0.35">
      <c r="A52" s="6" t="s">
        <v>60</v>
      </c>
      <c r="B52" s="6" t="s">
        <v>163</v>
      </c>
      <c r="C52" s="6" t="s">
        <v>168</v>
      </c>
      <c r="D52" s="6" t="s">
        <v>174</v>
      </c>
      <c r="E52" s="11">
        <v>39423</v>
      </c>
      <c r="F52" s="12">
        <v>42365</v>
      </c>
      <c r="G52" s="11">
        <v>5</v>
      </c>
      <c r="H52" s="6" t="s">
        <v>180</v>
      </c>
      <c r="I52" s="6" t="s">
        <v>227</v>
      </c>
      <c r="K52" s="5"/>
    </row>
    <row r="53" spans="1:11" x14ac:dyDescent="0.35">
      <c r="A53" s="6" t="s">
        <v>61</v>
      </c>
      <c r="B53" s="6" t="s">
        <v>159</v>
      </c>
      <c r="C53" s="6" t="s">
        <v>170</v>
      </c>
      <c r="D53" s="6" t="s">
        <v>174</v>
      </c>
      <c r="E53" s="11">
        <v>30280</v>
      </c>
      <c r="F53" s="12">
        <v>42372</v>
      </c>
      <c r="G53" s="11">
        <v>1</v>
      </c>
      <c r="H53" s="6" t="s">
        <v>181</v>
      </c>
      <c r="I53" s="6" t="s">
        <v>228</v>
      </c>
      <c r="K53" s="5"/>
    </row>
    <row r="54" spans="1:11" x14ac:dyDescent="0.35">
      <c r="A54" s="6" t="s">
        <v>62</v>
      </c>
      <c r="B54" s="6" t="s">
        <v>159</v>
      </c>
      <c r="C54" s="6" t="s">
        <v>166</v>
      </c>
      <c r="D54" s="6" t="s">
        <v>175</v>
      </c>
      <c r="E54" s="11">
        <v>33352</v>
      </c>
      <c r="F54" s="12">
        <v>42379</v>
      </c>
      <c r="G54" s="11">
        <v>3</v>
      </c>
      <c r="H54" s="6" t="s">
        <v>181</v>
      </c>
      <c r="I54" s="6" t="s">
        <v>200</v>
      </c>
      <c r="K54" s="5"/>
    </row>
    <row r="55" spans="1:11" x14ac:dyDescent="0.35">
      <c r="A55" s="6" t="s">
        <v>63</v>
      </c>
      <c r="B55" s="6" t="s">
        <v>165</v>
      </c>
      <c r="C55" s="6" t="s">
        <v>170</v>
      </c>
      <c r="D55" s="6" t="s">
        <v>175</v>
      </c>
      <c r="E55" s="11">
        <v>75633</v>
      </c>
      <c r="F55" s="12">
        <v>42386</v>
      </c>
      <c r="G55" s="11">
        <v>5</v>
      </c>
      <c r="H55" s="6" t="s">
        <v>180</v>
      </c>
      <c r="I55" s="6" t="s">
        <v>229</v>
      </c>
      <c r="K55" s="5"/>
    </row>
    <row r="56" spans="1:11" x14ac:dyDescent="0.35">
      <c r="A56" s="6" t="s">
        <v>64</v>
      </c>
      <c r="B56" s="6" t="s">
        <v>164</v>
      </c>
      <c r="C56" s="6" t="s">
        <v>170</v>
      </c>
      <c r="D56" s="6" t="s">
        <v>173</v>
      </c>
      <c r="E56" s="11">
        <v>74815</v>
      </c>
      <c r="F56" s="12">
        <v>42393</v>
      </c>
      <c r="G56" s="11">
        <v>5</v>
      </c>
      <c r="H56" s="6" t="s">
        <v>181</v>
      </c>
      <c r="I56" s="6" t="s">
        <v>230</v>
      </c>
      <c r="K56" s="5"/>
    </row>
    <row r="57" spans="1:11" x14ac:dyDescent="0.35">
      <c r="A57" s="6" t="s">
        <v>65</v>
      </c>
      <c r="B57" s="6" t="s">
        <v>161</v>
      </c>
      <c r="C57" s="6" t="s">
        <v>168</v>
      </c>
      <c r="D57" s="6" t="s">
        <v>176</v>
      </c>
      <c r="E57" s="11">
        <v>60011</v>
      </c>
      <c r="F57" s="12">
        <v>42400</v>
      </c>
      <c r="G57" s="11">
        <v>1</v>
      </c>
      <c r="H57" s="6" t="s">
        <v>180</v>
      </c>
      <c r="I57" s="6" t="s">
        <v>231</v>
      </c>
      <c r="K57" s="5"/>
    </row>
    <row r="58" spans="1:11" x14ac:dyDescent="0.35">
      <c r="A58" s="6" t="s">
        <v>66</v>
      </c>
      <c r="B58" s="6" t="s">
        <v>159</v>
      </c>
      <c r="C58" s="6" t="s">
        <v>170</v>
      </c>
      <c r="D58" s="6" t="s">
        <v>174</v>
      </c>
      <c r="E58" s="11">
        <v>96949</v>
      </c>
      <c r="F58" s="12">
        <v>42407</v>
      </c>
      <c r="G58" s="11">
        <v>3</v>
      </c>
      <c r="H58" s="6" t="s">
        <v>181</v>
      </c>
      <c r="I58" s="6" t="s">
        <v>207</v>
      </c>
      <c r="K58" s="5"/>
    </row>
    <row r="59" spans="1:11" x14ac:dyDescent="0.35">
      <c r="A59" s="6" t="s">
        <v>67</v>
      </c>
      <c r="B59" s="6" t="s">
        <v>163</v>
      </c>
      <c r="C59" s="6" t="s">
        <v>170</v>
      </c>
      <c r="D59" s="6" t="s">
        <v>174</v>
      </c>
      <c r="E59" s="11">
        <v>84924</v>
      </c>
      <c r="F59" s="12">
        <v>42414</v>
      </c>
      <c r="G59" s="11">
        <v>5</v>
      </c>
      <c r="H59" s="6" t="s">
        <v>180</v>
      </c>
      <c r="I59" s="6" t="s">
        <v>232</v>
      </c>
      <c r="K59" s="5"/>
    </row>
    <row r="60" spans="1:11" x14ac:dyDescent="0.35">
      <c r="A60" s="6" t="s">
        <v>68</v>
      </c>
      <c r="B60" s="6" t="s">
        <v>163</v>
      </c>
      <c r="C60" s="6" t="s">
        <v>166</v>
      </c>
      <c r="D60" s="6" t="s">
        <v>173</v>
      </c>
      <c r="E60" s="11">
        <v>82033</v>
      </c>
      <c r="F60" s="12">
        <v>42421</v>
      </c>
      <c r="G60" s="11">
        <v>1</v>
      </c>
      <c r="H60" s="6" t="s">
        <v>180</v>
      </c>
      <c r="I60" s="6" t="s">
        <v>223</v>
      </c>
      <c r="K60" s="5"/>
    </row>
    <row r="61" spans="1:11" x14ac:dyDescent="0.35">
      <c r="A61" s="6" t="s">
        <v>69</v>
      </c>
      <c r="B61" s="6" t="s">
        <v>178</v>
      </c>
      <c r="C61" s="6" t="s">
        <v>170</v>
      </c>
      <c r="D61" s="6" t="s">
        <v>172</v>
      </c>
      <c r="E61" s="11">
        <v>66280.929577464791</v>
      </c>
      <c r="F61" s="12">
        <v>42533</v>
      </c>
      <c r="G61" s="11">
        <v>5</v>
      </c>
      <c r="H61" s="6" t="s">
        <v>178</v>
      </c>
      <c r="I61" s="6" t="s">
        <v>233</v>
      </c>
      <c r="K61" s="5"/>
    </row>
    <row r="62" spans="1:11" x14ac:dyDescent="0.35">
      <c r="A62" s="6" t="s">
        <v>70</v>
      </c>
      <c r="B62" s="6" t="s">
        <v>159</v>
      </c>
      <c r="C62" s="6" t="s">
        <v>170</v>
      </c>
      <c r="D62" s="6" t="s">
        <v>176</v>
      </c>
      <c r="E62" s="11">
        <v>31499</v>
      </c>
      <c r="F62" s="12">
        <v>42435</v>
      </c>
      <c r="G62" s="11">
        <v>2</v>
      </c>
      <c r="H62" s="6" t="s">
        <v>181</v>
      </c>
      <c r="I62" s="6" t="s">
        <v>215</v>
      </c>
      <c r="K62" s="5"/>
    </row>
    <row r="63" spans="1:11" x14ac:dyDescent="0.35">
      <c r="A63" s="6" t="s">
        <v>71</v>
      </c>
      <c r="B63" s="6" t="s">
        <v>164</v>
      </c>
      <c r="C63" s="6" t="s">
        <v>169</v>
      </c>
      <c r="D63" s="6" t="s">
        <v>175</v>
      </c>
      <c r="E63" s="11">
        <v>97981</v>
      </c>
      <c r="F63" s="12">
        <v>42442</v>
      </c>
      <c r="G63" s="11">
        <v>5</v>
      </c>
      <c r="H63" s="6" t="s">
        <v>181</v>
      </c>
      <c r="I63" s="6" t="s">
        <v>234</v>
      </c>
      <c r="K63" s="5"/>
    </row>
    <row r="64" spans="1:11" x14ac:dyDescent="0.35">
      <c r="A64" s="6" t="s">
        <v>72</v>
      </c>
      <c r="B64" s="6" t="s">
        <v>159</v>
      </c>
      <c r="C64" s="6" t="s">
        <v>167</v>
      </c>
      <c r="D64" s="6" t="s">
        <v>173</v>
      </c>
      <c r="E64" s="11">
        <v>36541</v>
      </c>
      <c r="F64" s="12">
        <v>42449</v>
      </c>
      <c r="G64" s="11">
        <v>2</v>
      </c>
      <c r="H64" s="6" t="s">
        <v>181</v>
      </c>
      <c r="I64" s="6" t="s">
        <v>235</v>
      </c>
      <c r="K64" s="5"/>
    </row>
    <row r="65" spans="1:11" x14ac:dyDescent="0.35">
      <c r="A65" s="6" t="s">
        <v>73</v>
      </c>
      <c r="B65" s="6" t="s">
        <v>161</v>
      </c>
      <c r="C65" s="6" t="s">
        <v>169</v>
      </c>
      <c r="D65" s="6" t="s">
        <v>174</v>
      </c>
      <c r="E65" s="11">
        <v>84737</v>
      </c>
      <c r="F65" s="12">
        <v>42456</v>
      </c>
      <c r="G65" s="11">
        <v>1</v>
      </c>
      <c r="H65" s="6" t="s">
        <v>180</v>
      </c>
      <c r="I65" s="6" t="s">
        <v>236</v>
      </c>
      <c r="K65" s="5"/>
    </row>
    <row r="66" spans="1:11" x14ac:dyDescent="0.35">
      <c r="A66" s="6" t="s">
        <v>74</v>
      </c>
      <c r="B66" s="6" t="s">
        <v>163</v>
      </c>
      <c r="C66" s="6" t="s">
        <v>166</v>
      </c>
      <c r="D66" s="6" t="s">
        <v>174</v>
      </c>
      <c r="E66" s="11">
        <v>33468</v>
      </c>
      <c r="F66" s="12">
        <v>42463</v>
      </c>
      <c r="G66" s="11">
        <v>4</v>
      </c>
      <c r="H66" s="6" t="s">
        <v>180</v>
      </c>
      <c r="I66" s="6" t="s">
        <v>237</v>
      </c>
      <c r="K66" s="5"/>
    </row>
    <row r="67" spans="1:11" x14ac:dyDescent="0.35">
      <c r="A67" s="6" t="s">
        <v>75</v>
      </c>
      <c r="B67" s="6" t="s">
        <v>163</v>
      </c>
      <c r="C67" s="6" t="s">
        <v>170</v>
      </c>
      <c r="D67" s="6" t="s">
        <v>176</v>
      </c>
      <c r="E67" s="11">
        <v>96365</v>
      </c>
      <c r="F67" s="12">
        <v>42470</v>
      </c>
      <c r="G67" s="11">
        <v>3</v>
      </c>
      <c r="H67" s="6" t="s">
        <v>180</v>
      </c>
      <c r="I67" s="6" t="s">
        <v>238</v>
      </c>
      <c r="K67" s="5"/>
    </row>
    <row r="68" spans="1:11" x14ac:dyDescent="0.35">
      <c r="A68" s="6" t="s">
        <v>76</v>
      </c>
      <c r="B68" s="6" t="s">
        <v>160</v>
      </c>
      <c r="C68" s="6" t="s">
        <v>168</v>
      </c>
      <c r="D68" s="6" t="s">
        <v>174</v>
      </c>
      <c r="E68" s="11">
        <v>61942</v>
      </c>
      <c r="F68" s="12">
        <v>42477</v>
      </c>
      <c r="G68" s="11">
        <v>3</v>
      </c>
      <c r="H68" s="6" t="s">
        <v>181</v>
      </c>
      <c r="I68" s="6" t="s">
        <v>239</v>
      </c>
      <c r="K68" s="5"/>
    </row>
    <row r="69" spans="1:11" x14ac:dyDescent="0.35">
      <c r="A69" s="6" t="s">
        <v>77</v>
      </c>
      <c r="B69" s="6" t="s">
        <v>163</v>
      </c>
      <c r="C69" s="6" t="s">
        <v>166</v>
      </c>
      <c r="D69" s="6" t="s">
        <v>175</v>
      </c>
      <c r="E69" s="11">
        <v>41467</v>
      </c>
      <c r="F69" s="12">
        <v>42484</v>
      </c>
      <c r="G69" s="11">
        <v>2</v>
      </c>
      <c r="H69" s="6" t="s">
        <v>180</v>
      </c>
      <c r="I69" s="6" t="s">
        <v>201</v>
      </c>
      <c r="K69" s="5"/>
    </row>
    <row r="70" spans="1:11" x14ac:dyDescent="0.35">
      <c r="A70" s="6" t="s">
        <v>78</v>
      </c>
      <c r="B70" s="6" t="s">
        <v>165</v>
      </c>
      <c r="C70" s="6" t="s">
        <v>166</v>
      </c>
      <c r="D70" s="6" t="s">
        <v>174</v>
      </c>
      <c r="E70" s="11">
        <v>77096</v>
      </c>
      <c r="F70" s="12">
        <v>42491</v>
      </c>
      <c r="G70" s="11">
        <v>1</v>
      </c>
      <c r="H70" s="6" t="s">
        <v>180</v>
      </c>
      <c r="I70" s="6" t="s">
        <v>240</v>
      </c>
      <c r="K70" s="5"/>
    </row>
    <row r="71" spans="1:11" x14ac:dyDescent="0.35">
      <c r="A71" s="6" t="s">
        <v>79</v>
      </c>
      <c r="B71" s="6" t="s">
        <v>159</v>
      </c>
      <c r="C71" s="6" t="s">
        <v>168</v>
      </c>
      <c r="D71" s="6" t="s">
        <v>176</v>
      </c>
      <c r="E71" s="11">
        <v>69952</v>
      </c>
      <c r="F71" s="12">
        <v>42498</v>
      </c>
      <c r="G71" s="11">
        <v>5</v>
      </c>
      <c r="H71" s="6" t="s">
        <v>181</v>
      </c>
      <c r="I71" s="6" t="s">
        <v>178</v>
      </c>
      <c r="K71" s="5"/>
    </row>
    <row r="72" spans="1:11" x14ac:dyDescent="0.35">
      <c r="A72" s="6" t="s">
        <v>80</v>
      </c>
      <c r="B72" s="6" t="s">
        <v>159</v>
      </c>
      <c r="C72" s="6" t="s">
        <v>170</v>
      </c>
      <c r="D72" s="6" t="s">
        <v>173</v>
      </c>
      <c r="E72" s="11">
        <v>85065</v>
      </c>
      <c r="F72" s="12">
        <v>42505</v>
      </c>
      <c r="G72" s="11">
        <v>3</v>
      </c>
      <c r="H72" s="6" t="s">
        <v>181</v>
      </c>
      <c r="I72" s="6" t="s">
        <v>241</v>
      </c>
      <c r="K72" s="5"/>
    </row>
    <row r="73" spans="1:11" x14ac:dyDescent="0.35">
      <c r="A73" s="6" t="s">
        <v>81</v>
      </c>
      <c r="B73" s="6" t="s">
        <v>165</v>
      </c>
      <c r="C73" s="6" t="s">
        <v>170</v>
      </c>
      <c r="D73" s="6" t="s">
        <v>174</v>
      </c>
      <c r="E73" s="11">
        <v>56512</v>
      </c>
      <c r="F73" s="12">
        <v>42512</v>
      </c>
      <c r="G73" s="11">
        <v>2.879032258064516</v>
      </c>
      <c r="H73" s="6" t="s">
        <v>180</v>
      </c>
      <c r="I73" s="6" t="s">
        <v>190</v>
      </c>
      <c r="K73" s="5"/>
    </row>
    <row r="74" spans="1:11" x14ac:dyDescent="0.35">
      <c r="A74" s="6" t="s">
        <v>82</v>
      </c>
      <c r="B74" s="6" t="s">
        <v>161</v>
      </c>
      <c r="C74" s="6" t="s">
        <v>168</v>
      </c>
      <c r="D74" s="6" t="s">
        <v>174</v>
      </c>
      <c r="E74" s="11">
        <v>91101</v>
      </c>
      <c r="F74" s="12">
        <v>42519</v>
      </c>
      <c r="G74" s="11">
        <v>4</v>
      </c>
      <c r="H74" s="6" t="s">
        <v>181</v>
      </c>
      <c r="I74" s="6" t="s">
        <v>234</v>
      </c>
      <c r="K74" s="5"/>
    </row>
    <row r="75" spans="1:11" x14ac:dyDescent="0.35">
      <c r="A75" s="6" t="s">
        <v>83</v>
      </c>
      <c r="B75" s="6" t="s">
        <v>163</v>
      </c>
      <c r="C75" s="6" t="s">
        <v>170</v>
      </c>
      <c r="D75" s="6" t="s">
        <v>172</v>
      </c>
      <c r="E75" s="11">
        <v>41243</v>
      </c>
      <c r="F75" s="12">
        <v>42526</v>
      </c>
      <c r="G75" s="11">
        <v>2.879032258064516</v>
      </c>
      <c r="H75" s="6" t="s">
        <v>180</v>
      </c>
      <c r="I75" s="6" t="s">
        <v>211</v>
      </c>
      <c r="K75" s="5"/>
    </row>
    <row r="76" spans="1:11" x14ac:dyDescent="0.35">
      <c r="A76" s="6" t="s">
        <v>84</v>
      </c>
      <c r="B76" s="6" t="s">
        <v>178</v>
      </c>
      <c r="C76" s="6" t="s">
        <v>168</v>
      </c>
      <c r="D76" s="6" t="s">
        <v>174</v>
      </c>
      <c r="E76" s="11">
        <v>96142</v>
      </c>
      <c r="F76" s="12">
        <v>42533</v>
      </c>
      <c r="G76" s="11">
        <v>1</v>
      </c>
      <c r="H76" s="6" t="s">
        <v>178</v>
      </c>
      <c r="I76" s="6" t="s">
        <v>242</v>
      </c>
      <c r="K76" s="5"/>
    </row>
    <row r="77" spans="1:11" x14ac:dyDescent="0.35">
      <c r="A77" s="6" t="s">
        <v>85</v>
      </c>
      <c r="B77" s="6" t="s">
        <v>159</v>
      </c>
      <c r="C77" s="6" t="s">
        <v>169</v>
      </c>
      <c r="D77" s="6" t="s">
        <v>174</v>
      </c>
      <c r="E77" s="11">
        <v>94301</v>
      </c>
      <c r="F77" s="12">
        <v>42540</v>
      </c>
      <c r="G77" s="11">
        <v>1</v>
      </c>
      <c r="H77" s="6" t="s">
        <v>181</v>
      </c>
      <c r="I77" s="6" t="s">
        <v>223</v>
      </c>
      <c r="K77" s="5"/>
    </row>
    <row r="78" spans="1:11" x14ac:dyDescent="0.35">
      <c r="A78" s="6" t="s">
        <v>86</v>
      </c>
      <c r="B78" s="6" t="s">
        <v>162</v>
      </c>
      <c r="C78" s="6" t="s">
        <v>170</v>
      </c>
      <c r="D78" s="6" t="s">
        <v>175</v>
      </c>
      <c r="E78" s="11">
        <v>69166</v>
      </c>
      <c r="F78" s="12">
        <v>42547</v>
      </c>
      <c r="G78" s="11">
        <v>1</v>
      </c>
      <c r="H78" s="6" t="s">
        <v>181</v>
      </c>
      <c r="I78" s="6" t="s">
        <v>243</v>
      </c>
      <c r="K78" s="5"/>
    </row>
    <row r="79" spans="1:11" x14ac:dyDescent="0.35">
      <c r="A79" s="6" t="s">
        <v>87</v>
      </c>
      <c r="B79" s="6" t="s">
        <v>163</v>
      </c>
      <c r="C79" s="6" t="s">
        <v>170</v>
      </c>
      <c r="D79" s="6" t="s">
        <v>175</v>
      </c>
      <c r="E79" s="11">
        <v>78245</v>
      </c>
      <c r="F79" s="12">
        <v>42554</v>
      </c>
      <c r="G79" s="11">
        <v>2</v>
      </c>
      <c r="H79" s="6" t="s">
        <v>180</v>
      </c>
      <c r="I79" s="6" t="s">
        <v>244</v>
      </c>
      <c r="K79" s="5"/>
    </row>
    <row r="80" spans="1:11" x14ac:dyDescent="0.35">
      <c r="A80" s="6" t="s">
        <v>88</v>
      </c>
      <c r="B80" s="6" t="s">
        <v>164</v>
      </c>
      <c r="C80" s="6" t="s">
        <v>168</v>
      </c>
      <c r="D80" s="6" t="s">
        <v>173</v>
      </c>
      <c r="E80" s="11">
        <v>66079</v>
      </c>
      <c r="F80" s="12">
        <v>42561</v>
      </c>
      <c r="G80" s="11">
        <v>2</v>
      </c>
      <c r="H80" s="6" t="s">
        <v>180</v>
      </c>
      <c r="I80" s="6" t="s">
        <v>245</v>
      </c>
      <c r="K80" s="5"/>
    </row>
    <row r="81" spans="1:11" x14ac:dyDescent="0.35">
      <c r="A81" s="6" t="s">
        <v>89</v>
      </c>
      <c r="B81" s="6" t="s">
        <v>159</v>
      </c>
      <c r="C81" s="6" t="s">
        <v>170</v>
      </c>
      <c r="D81" s="6" t="s">
        <v>174</v>
      </c>
      <c r="E81" s="11">
        <v>66280.929577464791</v>
      </c>
      <c r="F81" s="12">
        <v>42533</v>
      </c>
      <c r="G81" s="11">
        <v>2.879032258064516</v>
      </c>
      <c r="H81" s="6" t="s">
        <v>181</v>
      </c>
      <c r="I81" s="6" t="s">
        <v>208</v>
      </c>
      <c r="K81" s="5"/>
    </row>
    <row r="82" spans="1:11" x14ac:dyDescent="0.35">
      <c r="A82" s="6" t="s">
        <v>90</v>
      </c>
      <c r="B82" s="6" t="s">
        <v>162</v>
      </c>
      <c r="C82" s="6" t="s">
        <v>168</v>
      </c>
      <c r="D82" s="6" t="s">
        <v>173</v>
      </c>
      <c r="E82" s="11">
        <v>95621</v>
      </c>
      <c r="F82" s="12">
        <v>42575</v>
      </c>
      <c r="G82" s="11">
        <v>3</v>
      </c>
      <c r="H82" s="6" t="s">
        <v>181</v>
      </c>
      <c r="I82" s="6" t="s">
        <v>246</v>
      </c>
      <c r="K82" s="5"/>
    </row>
    <row r="83" spans="1:11" x14ac:dyDescent="0.35">
      <c r="A83" s="6" t="s">
        <v>91</v>
      </c>
      <c r="B83" s="6" t="s">
        <v>159</v>
      </c>
      <c r="C83" s="6" t="s">
        <v>169</v>
      </c>
      <c r="D83" s="6" t="s">
        <v>175</v>
      </c>
      <c r="E83" s="11">
        <v>42262</v>
      </c>
      <c r="F83" s="12">
        <v>42582</v>
      </c>
      <c r="G83" s="11">
        <v>1</v>
      </c>
      <c r="H83" s="6" t="s">
        <v>181</v>
      </c>
      <c r="I83" s="6" t="s">
        <v>247</v>
      </c>
      <c r="K83" s="5"/>
    </row>
    <row r="84" spans="1:11" x14ac:dyDescent="0.35">
      <c r="A84" s="6" t="s">
        <v>92</v>
      </c>
      <c r="B84" s="6" t="s">
        <v>163</v>
      </c>
      <c r="C84" s="6" t="s">
        <v>168</v>
      </c>
      <c r="D84" s="6" t="s">
        <v>174</v>
      </c>
      <c r="E84" s="11">
        <v>99621</v>
      </c>
      <c r="F84" s="12">
        <v>42589</v>
      </c>
      <c r="G84" s="11">
        <v>2.879032258064516</v>
      </c>
      <c r="H84" s="6" t="s">
        <v>180</v>
      </c>
      <c r="I84" s="6" t="s">
        <v>248</v>
      </c>
      <c r="K84" s="5"/>
    </row>
    <row r="85" spans="1:11" x14ac:dyDescent="0.35">
      <c r="A85" s="6" t="s">
        <v>93</v>
      </c>
      <c r="B85" s="6" t="s">
        <v>161</v>
      </c>
      <c r="C85" s="6" t="s">
        <v>170</v>
      </c>
      <c r="D85" s="6" t="s">
        <v>174</v>
      </c>
      <c r="E85" s="11">
        <v>44682</v>
      </c>
      <c r="F85" s="12">
        <v>42596</v>
      </c>
      <c r="G85" s="11">
        <v>4</v>
      </c>
      <c r="H85" s="6" t="s">
        <v>181</v>
      </c>
      <c r="I85" s="6" t="s">
        <v>220</v>
      </c>
      <c r="K85" s="5"/>
    </row>
    <row r="86" spans="1:11" x14ac:dyDescent="0.35">
      <c r="A86" s="6" t="s">
        <v>94</v>
      </c>
      <c r="B86" s="6" t="s">
        <v>164</v>
      </c>
      <c r="C86" s="6" t="s">
        <v>166</v>
      </c>
      <c r="D86" s="6" t="s">
        <v>174</v>
      </c>
      <c r="E86" s="11">
        <v>35163</v>
      </c>
      <c r="F86" s="12">
        <v>42603</v>
      </c>
      <c r="G86" s="11">
        <v>5</v>
      </c>
      <c r="H86" s="6" t="s">
        <v>180</v>
      </c>
      <c r="I86" s="6" t="s">
        <v>249</v>
      </c>
      <c r="K86" s="5"/>
    </row>
    <row r="87" spans="1:11" x14ac:dyDescent="0.35">
      <c r="A87" s="6" t="s">
        <v>95</v>
      </c>
      <c r="B87" s="6" t="s">
        <v>164</v>
      </c>
      <c r="C87" s="6" t="s">
        <v>169</v>
      </c>
      <c r="D87" s="6" t="s">
        <v>174</v>
      </c>
      <c r="E87" s="11">
        <v>33483</v>
      </c>
      <c r="F87" s="12">
        <v>42610</v>
      </c>
      <c r="G87" s="11">
        <v>4</v>
      </c>
      <c r="H87" s="6" t="s">
        <v>180</v>
      </c>
      <c r="I87" s="6" t="s">
        <v>250</v>
      </c>
      <c r="K87" s="5"/>
    </row>
    <row r="88" spans="1:11" x14ac:dyDescent="0.35">
      <c r="A88" s="6" t="s">
        <v>96</v>
      </c>
      <c r="B88" s="6" t="s">
        <v>163</v>
      </c>
      <c r="C88" s="6" t="s">
        <v>167</v>
      </c>
      <c r="D88" s="6" t="s">
        <v>172</v>
      </c>
      <c r="E88" s="11">
        <v>55303</v>
      </c>
      <c r="F88" s="12">
        <v>42617</v>
      </c>
      <c r="G88" s="11">
        <v>4</v>
      </c>
      <c r="H88" s="6" t="s">
        <v>180</v>
      </c>
      <c r="I88" s="6" t="s">
        <v>203</v>
      </c>
      <c r="K88" s="5"/>
    </row>
    <row r="89" spans="1:11" x14ac:dyDescent="0.35">
      <c r="A89" s="6" t="s">
        <v>97</v>
      </c>
      <c r="B89" s="6" t="s">
        <v>164</v>
      </c>
      <c r="C89" s="6" t="s">
        <v>169</v>
      </c>
      <c r="D89" s="6" t="s">
        <v>174</v>
      </c>
      <c r="E89" s="11">
        <v>63434</v>
      </c>
      <c r="F89" s="12">
        <v>42624</v>
      </c>
      <c r="G89" s="11">
        <v>3</v>
      </c>
      <c r="H89" s="6" t="s">
        <v>181</v>
      </c>
      <c r="I89" s="6" t="s">
        <v>251</v>
      </c>
      <c r="K89" s="5"/>
    </row>
    <row r="90" spans="1:11" x14ac:dyDescent="0.35">
      <c r="A90" s="6" t="s">
        <v>98</v>
      </c>
      <c r="B90" s="6" t="s">
        <v>162</v>
      </c>
      <c r="C90" s="6" t="s">
        <v>170</v>
      </c>
      <c r="D90" s="6" t="s">
        <v>176</v>
      </c>
      <c r="E90" s="11">
        <v>38830</v>
      </c>
      <c r="F90" s="12">
        <v>42631</v>
      </c>
      <c r="G90" s="11">
        <v>3</v>
      </c>
      <c r="H90" s="6" t="s">
        <v>181</v>
      </c>
      <c r="I90" s="6" t="s">
        <v>203</v>
      </c>
      <c r="K90" s="5"/>
    </row>
    <row r="91" spans="1:11" x14ac:dyDescent="0.35">
      <c r="A91" s="6" t="s">
        <v>99</v>
      </c>
      <c r="B91" s="6" t="s">
        <v>178</v>
      </c>
      <c r="C91" s="6" t="s">
        <v>170</v>
      </c>
      <c r="D91" s="6" t="s">
        <v>175</v>
      </c>
      <c r="E91" s="11">
        <v>50741</v>
      </c>
      <c r="F91" s="12">
        <v>42638</v>
      </c>
      <c r="G91" s="11">
        <v>3</v>
      </c>
      <c r="H91" s="6" t="s">
        <v>178</v>
      </c>
      <c r="I91" s="6" t="s">
        <v>240</v>
      </c>
      <c r="K91" s="5"/>
    </row>
    <row r="92" spans="1:11" x14ac:dyDescent="0.35">
      <c r="A92" s="6" t="s">
        <v>100</v>
      </c>
      <c r="B92" s="6" t="s">
        <v>160</v>
      </c>
      <c r="C92" s="6" t="s">
        <v>167</v>
      </c>
      <c r="D92" s="6" t="s">
        <v>176</v>
      </c>
      <c r="E92" s="11">
        <v>69420</v>
      </c>
      <c r="F92" s="12">
        <v>42645</v>
      </c>
      <c r="G92" s="11">
        <v>1</v>
      </c>
      <c r="H92" s="6" t="s">
        <v>181</v>
      </c>
      <c r="I92" s="6" t="s">
        <v>225</v>
      </c>
      <c r="K92" s="5"/>
    </row>
    <row r="93" spans="1:11" x14ac:dyDescent="0.35">
      <c r="A93" s="6" t="s">
        <v>101</v>
      </c>
      <c r="B93" s="6" t="s">
        <v>162</v>
      </c>
      <c r="C93" s="6" t="s">
        <v>169</v>
      </c>
      <c r="D93" s="6" t="s">
        <v>174</v>
      </c>
      <c r="E93" s="11">
        <v>80588</v>
      </c>
      <c r="F93" s="12">
        <v>42652</v>
      </c>
      <c r="G93" s="11">
        <v>5</v>
      </c>
      <c r="H93" s="6" t="s">
        <v>181</v>
      </c>
      <c r="I93" s="6" t="s">
        <v>216</v>
      </c>
      <c r="K93" s="5"/>
    </row>
    <row r="94" spans="1:11" x14ac:dyDescent="0.35">
      <c r="A94" s="6" t="s">
        <v>102</v>
      </c>
      <c r="B94" s="6" t="s">
        <v>160</v>
      </c>
      <c r="C94" s="6" t="s">
        <v>170</v>
      </c>
      <c r="D94" s="6" t="s">
        <v>173</v>
      </c>
      <c r="E94" s="11">
        <v>76238</v>
      </c>
      <c r="F94" s="12">
        <v>42659</v>
      </c>
      <c r="G94" s="11">
        <v>4</v>
      </c>
      <c r="H94" s="6" t="s">
        <v>181</v>
      </c>
      <c r="I94" s="6" t="s">
        <v>252</v>
      </c>
      <c r="K94" s="5"/>
    </row>
    <row r="95" spans="1:11" x14ac:dyDescent="0.35">
      <c r="A95" s="6" t="s">
        <v>103</v>
      </c>
      <c r="B95" s="6" t="s">
        <v>165</v>
      </c>
      <c r="C95" s="6" t="s">
        <v>169</v>
      </c>
      <c r="D95" s="6" t="s">
        <v>174</v>
      </c>
      <c r="E95" s="11">
        <v>33264</v>
      </c>
      <c r="F95" s="12">
        <v>42666</v>
      </c>
      <c r="G95" s="11">
        <v>2.879032258064516</v>
      </c>
      <c r="H95" s="6" t="s">
        <v>180</v>
      </c>
      <c r="I95" s="6" t="s">
        <v>253</v>
      </c>
      <c r="K95" s="5"/>
    </row>
    <row r="96" spans="1:11" x14ac:dyDescent="0.35">
      <c r="A96" s="6" t="s">
        <v>104</v>
      </c>
      <c r="B96" s="6" t="s">
        <v>160</v>
      </c>
      <c r="C96" s="6" t="s">
        <v>166</v>
      </c>
      <c r="D96" s="6" t="s">
        <v>176</v>
      </c>
      <c r="E96" s="11">
        <v>96101</v>
      </c>
      <c r="F96" s="12">
        <v>42673</v>
      </c>
      <c r="G96" s="11">
        <v>2.879032258064516</v>
      </c>
      <c r="H96" s="6" t="s">
        <v>181</v>
      </c>
      <c r="I96" s="6" t="s">
        <v>254</v>
      </c>
      <c r="K96" s="5"/>
    </row>
    <row r="97" spans="1:11" x14ac:dyDescent="0.35">
      <c r="A97" s="6" t="s">
        <v>105</v>
      </c>
      <c r="B97" s="6" t="s">
        <v>162</v>
      </c>
      <c r="C97" s="6" t="s">
        <v>166</v>
      </c>
      <c r="D97" s="6" t="s">
        <v>173</v>
      </c>
      <c r="E97" s="11">
        <v>72939</v>
      </c>
      <c r="F97" s="12">
        <v>42680</v>
      </c>
      <c r="G97" s="11">
        <v>3</v>
      </c>
      <c r="H97" s="6" t="s">
        <v>181</v>
      </c>
      <c r="I97" s="6" t="s">
        <v>255</v>
      </c>
      <c r="K97" s="5"/>
    </row>
    <row r="98" spans="1:11" x14ac:dyDescent="0.35">
      <c r="A98" s="6" t="s">
        <v>106</v>
      </c>
      <c r="B98" s="6" t="s">
        <v>163</v>
      </c>
      <c r="C98" s="6" t="s">
        <v>167</v>
      </c>
      <c r="D98" s="6" t="s">
        <v>172</v>
      </c>
      <c r="E98" s="11">
        <v>89333</v>
      </c>
      <c r="F98" s="12">
        <v>42687</v>
      </c>
      <c r="G98" s="11">
        <v>1</v>
      </c>
      <c r="H98" s="6" t="s">
        <v>180</v>
      </c>
      <c r="I98" s="6" t="s">
        <v>256</v>
      </c>
      <c r="K98" s="5"/>
    </row>
    <row r="99" spans="1:11" x14ac:dyDescent="0.35">
      <c r="A99" s="6" t="s">
        <v>107</v>
      </c>
      <c r="B99" s="6" t="s">
        <v>165</v>
      </c>
      <c r="C99" s="6" t="s">
        <v>169</v>
      </c>
      <c r="D99" s="6" t="s">
        <v>176</v>
      </c>
      <c r="E99" s="11">
        <v>70470</v>
      </c>
      <c r="F99" s="12">
        <v>42694</v>
      </c>
      <c r="G99" s="11">
        <v>2.879032258064516</v>
      </c>
      <c r="H99" s="6" t="s">
        <v>180</v>
      </c>
      <c r="I99" s="6" t="s">
        <v>257</v>
      </c>
      <c r="K99" s="5"/>
    </row>
    <row r="100" spans="1:11" x14ac:dyDescent="0.35">
      <c r="A100" s="6" t="s">
        <v>108</v>
      </c>
      <c r="B100" s="6" t="s">
        <v>159</v>
      </c>
      <c r="C100" s="6" t="s">
        <v>170</v>
      </c>
      <c r="D100" s="6" t="s">
        <v>173</v>
      </c>
      <c r="E100" s="11">
        <v>70096</v>
      </c>
      <c r="F100" s="12">
        <v>42701</v>
      </c>
      <c r="G100" s="11">
        <v>4</v>
      </c>
      <c r="H100" s="6" t="s">
        <v>181</v>
      </c>
      <c r="I100" s="6" t="s">
        <v>258</v>
      </c>
      <c r="K100" s="5"/>
    </row>
    <row r="101" spans="1:11" x14ac:dyDescent="0.35">
      <c r="A101" s="6" t="s">
        <v>109</v>
      </c>
      <c r="B101" s="6" t="s">
        <v>165</v>
      </c>
      <c r="C101" s="6" t="s">
        <v>170</v>
      </c>
      <c r="D101" s="6" t="s">
        <v>174</v>
      </c>
      <c r="E101" s="11">
        <v>66280.929577464791</v>
      </c>
      <c r="F101" s="12">
        <v>42708</v>
      </c>
      <c r="G101" s="11">
        <v>2</v>
      </c>
      <c r="H101" s="6" t="s">
        <v>180</v>
      </c>
      <c r="I101" s="6" t="s">
        <v>259</v>
      </c>
      <c r="K101" s="5"/>
    </row>
    <row r="102" spans="1:11" x14ac:dyDescent="0.35">
      <c r="A102" s="6" t="s">
        <v>110</v>
      </c>
      <c r="B102" s="6" t="s">
        <v>165</v>
      </c>
      <c r="C102" s="6" t="s">
        <v>169</v>
      </c>
      <c r="D102" s="6" t="s">
        <v>172</v>
      </c>
      <c r="E102" s="11">
        <v>66503</v>
      </c>
      <c r="F102" s="12">
        <v>42715</v>
      </c>
      <c r="G102" s="11">
        <v>2.879032258064516</v>
      </c>
      <c r="H102" s="6" t="s">
        <v>180</v>
      </c>
      <c r="I102" s="6" t="s">
        <v>200</v>
      </c>
      <c r="K102" s="5"/>
    </row>
    <row r="103" spans="1:11" x14ac:dyDescent="0.35">
      <c r="A103" s="6" t="s">
        <v>111</v>
      </c>
      <c r="B103" s="6" t="s">
        <v>160</v>
      </c>
      <c r="C103" s="6" t="s">
        <v>167</v>
      </c>
      <c r="D103" s="6" t="s">
        <v>172</v>
      </c>
      <c r="E103" s="11">
        <v>42096</v>
      </c>
      <c r="F103" s="12">
        <v>42722</v>
      </c>
      <c r="G103" s="11">
        <v>2.879032258064516</v>
      </c>
      <c r="H103" s="6" t="s">
        <v>181</v>
      </c>
      <c r="I103" s="6" t="s">
        <v>260</v>
      </c>
      <c r="K103" s="5"/>
    </row>
    <row r="104" spans="1:11" x14ac:dyDescent="0.35">
      <c r="A104" s="6" t="s">
        <v>112</v>
      </c>
      <c r="B104" s="6" t="s">
        <v>160</v>
      </c>
      <c r="C104" s="6" t="s">
        <v>170</v>
      </c>
      <c r="D104" s="6" t="s">
        <v>174</v>
      </c>
      <c r="E104" s="11">
        <v>79145</v>
      </c>
      <c r="F104" s="12">
        <v>42729</v>
      </c>
      <c r="G104" s="11">
        <v>5</v>
      </c>
      <c r="H104" s="6" t="s">
        <v>181</v>
      </c>
      <c r="I104" s="6" t="s">
        <v>223</v>
      </c>
      <c r="K104" s="5"/>
    </row>
    <row r="105" spans="1:11" x14ac:dyDescent="0.35">
      <c r="A105" s="6" t="s">
        <v>113</v>
      </c>
      <c r="B105" s="6" t="s">
        <v>162</v>
      </c>
      <c r="C105" s="6" t="s">
        <v>170</v>
      </c>
      <c r="D105" s="6" t="s">
        <v>176</v>
      </c>
      <c r="E105" s="11">
        <v>61556</v>
      </c>
      <c r="F105" s="12">
        <v>42736</v>
      </c>
      <c r="G105" s="11">
        <v>1</v>
      </c>
      <c r="H105" s="6" t="s">
        <v>181</v>
      </c>
      <c r="I105" s="6" t="s">
        <v>259</v>
      </c>
      <c r="K105" s="5"/>
    </row>
    <row r="106" spans="1:11" x14ac:dyDescent="0.35">
      <c r="A106" s="6" t="s">
        <v>114</v>
      </c>
      <c r="B106" s="6" t="s">
        <v>178</v>
      </c>
      <c r="C106" s="6" t="s">
        <v>167</v>
      </c>
      <c r="D106" s="6" t="s">
        <v>175</v>
      </c>
      <c r="E106" s="11">
        <v>87963</v>
      </c>
      <c r="F106" s="12">
        <v>42743</v>
      </c>
      <c r="G106" s="11">
        <v>3</v>
      </c>
      <c r="H106" s="6" t="s">
        <v>178</v>
      </c>
      <c r="I106" s="6" t="s">
        <v>178</v>
      </c>
      <c r="K106" s="5"/>
    </row>
    <row r="107" spans="1:11" x14ac:dyDescent="0.35">
      <c r="A107" s="6" t="s">
        <v>115</v>
      </c>
      <c r="B107" s="6" t="s">
        <v>159</v>
      </c>
      <c r="C107" s="6" t="s">
        <v>169</v>
      </c>
      <c r="D107" s="6" t="s">
        <v>174</v>
      </c>
      <c r="E107" s="11">
        <v>48325</v>
      </c>
      <c r="F107" s="12">
        <v>42750</v>
      </c>
      <c r="G107" s="11">
        <v>2.879032258064516</v>
      </c>
      <c r="H107" s="6" t="s">
        <v>181</v>
      </c>
      <c r="I107" s="6" t="s">
        <v>261</v>
      </c>
      <c r="K107" s="5"/>
    </row>
    <row r="108" spans="1:11" x14ac:dyDescent="0.35">
      <c r="A108" s="6" t="s">
        <v>116</v>
      </c>
      <c r="B108" s="6" t="s">
        <v>163</v>
      </c>
      <c r="C108" s="6" t="s">
        <v>170</v>
      </c>
      <c r="D108" s="6" t="s">
        <v>176</v>
      </c>
      <c r="E108" s="11">
        <v>86412</v>
      </c>
      <c r="F108" s="12">
        <v>42757</v>
      </c>
      <c r="G108" s="11">
        <v>2</v>
      </c>
      <c r="H108" s="6" t="s">
        <v>180</v>
      </c>
      <c r="I108" s="6" t="s">
        <v>202</v>
      </c>
      <c r="K108" s="5"/>
    </row>
    <row r="109" spans="1:11" x14ac:dyDescent="0.35">
      <c r="A109" s="6" t="s">
        <v>117</v>
      </c>
      <c r="B109" s="6" t="s">
        <v>163</v>
      </c>
      <c r="C109" s="6" t="s">
        <v>167</v>
      </c>
      <c r="D109" s="6" t="s">
        <v>174</v>
      </c>
      <c r="E109" s="11">
        <v>66761</v>
      </c>
      <c r="F109" s="12">
        <v>42764</v>
      </c>
      <c r="G109" s="11">
        <v>1</v>
      </c>
      <c r="H109" s="6" t="s">
        <v>180</v>
      </c>
      <c r="I109" s="6" t="s">
        <v>262</v>
      </c>
      <c r="K109" s="5"/>
    </row>
    <row r="110" spans="1:11" x14ac:dyDescent="0.35">
      <c r="A110" s="6" t="s">
        <v>118</v>
      </c>
      <c r="B110" s="6" t="s">
        <v>162</v>
      </c>
      <c r="C110" s="6" t="s">
        <v>170</v>
      </c>
      <c r="D110" s="6" t="s">
        <v>174</v>
      </c>
      <c r="E110" s="11">
        <v>88850</v>
      </c>
      <c r="F110" s="12">
        <v>42771</v>
      </c>
      <c r="G110" s="11">
        <v>1</v>
      </c>
      <c r="H110" s="6" t="s">
        <v>181</v>
      </c>
      <c r="I110" s="6" t="s">
        <v>263</v>
      </c>
      <c r="K110" s="5"/>
    </row>
    <row r="111" spans="1:11" x14ac:dyDescent="0.35">
      <c r="A111" s="6" t="s">
        <v>119</v>
      </c>
      <c r="B111" s="6" t="s">
        <v>164</v>
      </c>
      <c r="C111" s="6" t="s">
        <v>168</v>
      </c>
      <c r="D111" s="6" t="s">
        <v>174</v>
      </c>
      <c r="E111" s="11">
        <v>31293</v>
      </c>
      <c r="F111" s="12">
        <v>42533</v>
      </c>
      <c r="G111" s="11">
        <v>2</v>
      </c>
      <c r="H111" s="6" t="s">
        <v>181</v>
      </c>
      <c r="I111" s="6" t="s">
        <v>264</v>
      </c>
      <c r="K111" s="5"/>
    </row>
    <row r="112" spans="1:11" x14ac:dyDescent="0.35">
      <c r="A112" s="6" t="s">
        <v>120</v>
      </c>
      <c r="B112" s="6" t="s">
        <v>164</v>
      </c>
      <c r="C112" s="6" t="s">
        <v>169</v>
      </c>
      <c r="D112" s="6" t="s">
        <v>173</v>
      </c>
      <c r="E112" s="11">
        <v>34306</v>
      </c>
      <c r="F112" s="12">
        <v>42785</v>
      </c>
      <c r="G112" s="11">
        <v>5</v>
      </c>
      <c r="H112" s="6" t="s">
        <v>181</v>
      </c>
      <c r="I112" s="6" t="s">
        <v>239</v>
      </c>
      <c r="K112" s="5"/>
    </row>
    <row r="113" spans="1:11" x14ac:dyDescent="0.35">
      <c r="A113" s="6" t="s">
        <v>121</v>
      </c>
      <c r="B113" s="6" t="s">
        <v>159</v>
      </c>
      <c r="C113" s="6" t="s">
        <v>166</v>
      </c>
      <c r="D113" s="6" t="s">
        <v>174</v>
      </c>
      <c r="E113" s="11">
        <v>78330</v>
      </c>
      <c r="F113" s="12">
        <v>42792</v>
      </c>
      <c r="G113" s="11">
        <v>2.879032258064516</v>
      </c>
      <c r="H113" s="6" t="s">
        <v>181</v>
      </c>
      <c r="I113" s="6" t="s">
        <v>258</v>
      </c>
      <c r="K113" s="5"/>
    </row>
    <row r="114" spans="1:11" x14ac:dyDescent="0.35">
      <c r="A114" s="6" t="s">
        <v>122</v>
      </c>
      <c r="B114" s="6" t="s">
        <v>160</v>
      </c>
      <c r="C114" s="6" t="s">
        <v>169</v>
      </c>
      <c r="D114" s="6" t="s">
        <v>173</v>
      </c>
      <c r="E114" s="11">
        <v>47653</v>
      </c>
      <c r="F114" s="12">
        <v>42799</v>
      </c>
      <c r="G114" s="11">
        <v>1</v>
      </c>
      <c r="H114" s="6" t="s">
        <v>181</v>
      </c>
      <c r="I114" s="6" t="s">
        <v>265</v>
      </c>
      <c r="K114" s="5"/>
    </row>
    <row r="115" spans="1:11" x14ac:dyDescent="0.35">
      <c r="A115" s="6" t="s">
        <v>123</v>
      </c>
      <c r="B115" s="6" t="s">
        <v>159</v>
      </c>
      <c r="C115" s="6" t="s">
        <v>170</v>
      </c>
      <c r="D115" s="6" t="s">
        <v>175</v>
      </c>
      <c r="E115" s="11">
        <v>44627</v>
      </c>
      <c r="F115" s="12">
        <v>42806</v>
      </c>
      <c r="G115" s="11">
        <v>4</v>
      </c>
      <c r="H115" s="6" t="s">
        <v>181</v>
      </c>
      <c r="I115" s="6" t="s">
        <v>235</v>
      </c>
      <c r="K115" s="5"/>
    </row>
    <row r="116" spans="1:11" x14ac:dyDescent="0.35">
      <c r="A116" s="6" t="s">
        <v>124</v>
      </c>
      <c r="B116" s="6" t="s">
        <v>165</v>
      </c>
      <c r="C116" s="6" t="s">
        <v>167</v>
      </c>
      <c r="D116" s="6" t="s">
        <v>172</v>
      </c>
      <c r="E116" s="11">
        <v>92343</v>
      </c>
      <c r="F116" s="12">
        <v>42813</v>
      </c>
      <c r="G116" s="11">
        <v>4</v>
      </c>
      <c r="H116" s="6" t="s">
        <v>180</v>
      </c>
      <c r="I116" s="6" t="s">
        <v>203</v>
      </c>
      <c r="K116" s="5"/>
    </row>
    <row r="117" spans="1:11" x14ac:dyDescent="0.35">
      <c r="A117" s="6" t="s">
        <v>125</v>
      </c>
      <c r="B117" s="6" t="s">
        <v>165</v>
      </c>
      <c r="C117" s="6" t="s">
        <v>170</v>
      </c>
      <c r="D117" s="6" t="s">
        <v>176</v>
      </c>
      <c r="E117" s="11">
        <v>38837</v>
      </c>
      <c r="F117" s="12">
        <v>42820</v>
      </c>
      <c r="G117" s="11">
        <v>5</v>
      </c>
      <c r="H117" s="6" t="s">
        <v>180</v>
      </c>
      <c r="I117" s="6" t="s">
        <v>239</v>
      </c>
      <c r="K117" s="5"/>
    </row>
    <row r="118" spans="1:11" x14ac:dyDescent="0.35">
      <c r="A118" s="6" t="s">
        <v>126</v>
      </c>
      <c r="B118" s="6" t="s">
        <v>165</v>
      </c>
      <c r="C118" s="6" t="s">
        <v>170</v>
      </c>
      <c r="D118" s="6" t="s">
        <v>174</v>
      </c>
      <c r="E118" s="11">
        <v>73483</v>
      </c>
      <c r="F118" s="12">
        <v>42827</v>
      </c>
      <c r="G118" s="11">
        <v>1</v>
      </c>
      <c r="H118" s="6" t="s">
        <v>180</v>
      </c>
      <c r="I118" s="6" t="s">
        <v>266</v>
      </c>
      <c r="K118" s="5"/>
    </row>
    <row r="119" spans="1:11" x14ac:dyDescent="0.35">
      <c r="A119" s="6" t="s">
        <v>127</v>
      </c>
      <c r="B119" s="6" t="s">
        <v>164</v>
      </c>
      <c r="C119" s="6" t="s">
        <v>168</v>
      </c>
      <c r="D119" s="6" t="s">
        <v>174</v>
      </c>
      <c r="E119" s="11">
        <v>95032</v>
      </c>
      <c r="F119" s="12">
        <v>42834</v>
      </c>
      <c r="G119" s="11">
        <v>3</v>
      </c>
      <c r="H119" s="6" t="s">
        <v>181</v>
      </c>
      <c r="I119" s="6" t="s">
        <v>267</v>
      </c>
      <c r="K119" s="5"/>
    </row>
    <row r="120" spans="1:11" x14ac:dyDescent="0.35">
      <c r="A120" s="6" t="s">
        <v>128</v>
      </c>
      <c r="B120" s="6" t="s">
        <v>159</v>
      </c>
      <c r="C120" s="6" t="s">
        <v>168</v>
      </c>
      <c r="D120" s="6" t="s">
        <v>176</v>
      </c>
      <c r="E120" s="11">
        <v>44358</v>
      </c>
      <c r="F120" s="12">
        <v>42841</v>
      </c>
      <c r="G120" s="11">
        <v>2.879032258064516</v>
      </c>
      <c r="H120" s="6" t="s">
        <v>181</v>
      </c>
      <c r="I120" s="6" t="s">
        <v>200</v>
      </c>
      <c r="K120" s="5"/>
    </row>
    <row r="121" spans="1:11" x14ac:dyDescent="0.35">
      <c r="A121" s="6" t="s">
        <v>129</v>
      </c>
      <c r="B121" s="6" t="s">
        <v>178</v>
      </c>
      <c r="C121" s="6" t="s">
        <v>169</v>
      </c>
      <c r="D121" s="6" t="s">
        <v>173</v>
      </c>
      <c r="E121" s="11">
        <v>66280.929577464791</v>
      </c>
      <c r="F121" s="12">
        <v>42533</v>
      </c>
      <c r="G121" s="11">
        <v>5</v>
      </c>
      <c r="H121" s="6" t="s">
        <v>178</v>
      </c>
      <c r="I121" s="6" t="s">
        <v>268</v>
      </c>
      <c r="K121" s="5"/>
    </row>
    <row r="122" spans="1:11" x14ac:dyDescent="0.35">
      <c r="A122" s="6" t="s">
        <v>130</v>
      </c>
      <c r="B122" s="6" t="s">
        <v>164</v>
      </c>
      <c r="C122" s="6" t="s">
        <v>168</v>
      </c>
      <c r="D122" s="6" t="s">
        <v>173</v>
      </c>
      <c r="E122" s="11">
        <v>45676</v>
      </c>
      <c r="F122" s="12">
        <v>42855</v>
      </c>
      <c r="G122" s="11">
        <v>2</v>
      </c>
      <c r="H122" s="6" t="s">
        <v>181</v>
      </c>
      <c r="I122" s="6" t="s">
        <v>269</v>
      </c>
      <c r="K122" s="5"/>
    </row>
    <row r="123" spans="1:11" x14ac:dyDescent="0.35">
      <c r="A123" s="6" t="s">
        <v>131</v>
      </c>
      <c r="B123" s="6" t="s">
        <v>165</v>
      </c>
      <c r="C123" s="6" t="s">
        <v>168</v>
      </c>
      <c r="D123" s="6" t="s">
        <v>172</v>
      </c>
      <c r="E123" s="11">
        <v>52036</v>
      </c>
      <c r="F123" s="12">
        <v>42862</v>
      </c>
      <c r="G123" s="11">
        <v>3</v>
      </c>
      <c r="H123" s="6" t="s">
        <v>180</v>
      </c>
      <c r="I123" s="6" t="s">
        <v>270</v>
      </c>
      <c r="K123" s="5"/>
    </row>
    <row r="124" spans="1:11" x14ac:dyDescent="0.35">
      <c r="A124" s="6" t="s">
        <v>132</v>
      </c>
      <c r="B124" s="6" t="s">
        <v>162</v>
      </c>
      <c r="C124" s="6" t="s">
        <v>170</v>
      </c>
      <c r="D124" s="6" t="s">
        <v>172</v>
      </c>
      <c r="E124" s="11">
        <v>30357</v>
      </c>
      <c r="F124" s="12">
        <v>42869</v>
      </c>
      <c r="G124" s="11">
        <v>5</v>
      </c>
      <c r="H124" s="6" t="s">
        <v>181</v>
      </c>
      <c r="I124" s="6" t="s">
        <v>248</v>
      </c>
      <c r="K124" s="5"/>
    </row>
    <row r="125" spans="1:11" x14ac:dyDescent="0.35">
      <c r="A125" s="6" t="s">
        <v>133</v>
      </c>
      <c r="B125" s="6" t="s">
        <v>161</v>
      </c>
      <c r="C125" s="6" t="s">
        <v>169</v>
      </c>
      <c r="D125" s="6" t="s">
        <v>174</v>
      </c>
      <c r="E125" s="11">
        <v>60034</v>
      </c>
      <c r="F125" s="12">
        <v>42876</v>
      </c>
      <c r="G125" s="11">
        <v>1</v>
      </c>
      <c r="H125" s="6" t="s">
        <v>181</v>
      </c>
      <c r="I125" s="6" t="s">
        <v>271</v>
      </c>
      <c r="K125" s="5"/>
    </row>
    <row r="126" spans="1:11" x14ac:dyDescent="0.35">
      <c r="A126" s="6" t="s">
        <v>134</v>
      </c>
      <c r="B126" s="6" t="s">
        <v>161</v>
      </c>
      <c r="C126" s="6" t="s">
        <v>166</v>
      </c>
      <c r="D126" s="6" t="s">
        <v>174</v>
      </c>
      <c r="E126" s="11">
        <v>90019</v>
      </c>
      <c r="F126" s="12">
        <v>42883</v>
      </c>
      <c r="G126" s="11">
        <v>5</v>
      </c>
      <c r="H126" s="6" t="s">
        <v>180</v>
      </c>
      <c r="I126" s="6" t="s">
        <v>272</v>
      </c>
      <c r="K126" s="5"/>
    </row>
    <row r="127" spans="1:11" x14ac:dyDescent="0.35">
      <c r="A127" s="6" t="s">
        <v>135</v>
      </c>
      <c r="B127" s="6" t="s">
        <v>165</v>
      </c>
      <c r="C127" s="6" t="s">
        <v>170</v>
      </c>
      <c r="D127" s="6" t="s">
        <v>172</v>
      </c>
      <c r="E127" s="11">
        <v>71494</v>
      </c>
      <c r="F127" s="12">
        <v>42890</v>
      </c>
      <c r="G127" s="11">
        <v>3</v>
      </c>
      <c r="H127" s="6" t="s">
        <v>180</v>
      </c>
      <c r="I127" s="6" t="s">
        <v>273</v>
      </c>
      <c r="K127" s="5"/>
    </row>
    <row r="128" spans="1:11" x14ac:dyDescent="0.35">
      <c r="A128" s="6" t="s">
        <v>136</v>
      </c>
      <c r="B128" s="6" t="s">
        <v>161</v>
      </c>
      <c r="C128" s="6" t="s">
        <v>166</v>
      </c>
      <c r="D128" s="6" t="s">
        <v>173</v>
      </c>
      <c r="E128" s="11">
        <v>91953</v>
      </c>
      <c r="F128" s="12">
        <v>42897</v>
      </c>
      <c r="G128" s="11">
        <v>2</v>
      </c>
      <c r="H128" s="6" t="s">
        <v>180</v>
      </c>
      <c r="I128" s="6" t="s">
        <v>209</v>
      </c>
      <c r="K128" s="5"/>
    </row>
    <row r="129" spans="1:11" x14ac:dyDescent="0.35">
      <c r="A129" s="6" t="s">
        <v>137</v>
      </c>
      <c r="B129" s="6" t="s">
        <v>164</v>
      </c>
      <c r="C129" s="6" t="s">
        <v>168</v>
      </c>
      <c r="D129" s="6" t="s">
        <v>173</v>
      </c>
      <c r="E129" s="11">
        <v>30402</v>
      </c>
      <c r="F129" s="12">
        <v>42904</v>
      </c>
      <c r="G129" s="11">
        <v>1</v>
      </c>
      <c r="H129" s="6" t="s">
        <v>181</v>
      </c>
      <c r="I129" s="6" t="s">
        <v>274</v>
      </c>
      <c r="K129" s="5"/>
    </row>
    <row r="130" spans="1:11" x14ac:dyDescent="0.35">
      <c r="A130" s="6" t="s">
        <v>138</v>
      </c>
      <c r="B130" s="6" t="s">
        <v>165</v>
      </c>
      <c r="C130" s="6" t="s">
        <v>170</v>
      </c>
      <c r="D130" s="6" t="s">
        <v>175</v>
      </c>
      <c r="E130" s="11">
        <v>62994</v>
      </c>
      <c r="F130" s="12">
        <v>42911</v>
      </c>
      <c r="G130" s="11">
        <v>2.879032258064516</v>
      </c>
      <c r="H130" s="6" t="s">
        <v>180</v>
      </c>
      <c r="I130" s="6" t="s">
        <v>221</v>
      </c>
      <c r="K130" s="5"/>
    </row>
    <row r="131" spans="1:11" x14ac:dyDescent="0.35">
      <c r="A131" s="6" t="s">
        <v>139</v>
      </c>
      <c r="B131" s="6" t="s">
        <v>160</v>
      </c>
      <c r="C131" s="6" t="s">
        <v>168</v>
      </c>
      <c r="D131" s="6" t="s">
        <v>174</v>
      </c>
      <c r="E131" s="11">
        <v>48289</v>
      </c>
      <c r="F131" s="12">
        <v>42533</v>
      </c>
      <c r="G131" s="11">
        <v>3</v>
      </c>
      <c r="H131" s="6" t="s">
        <v>181</v>
      </c>
      <c r="I131" s="6" t="s">
        <v>189</v>
      </c>
      <c r="K131" s="5"/>
    </row>
    <row r="132" spans="1:11" x14ac:dyDescent="0.35">
      <c r="A132" s="6" t="s">
        <v>140</v>
      </c>
      <c r="B132" s="6" t="s">
        <v>163</v>
      </c>
      <c r="C132" s="6" t="s">
        <v>170</v>
      </c>
      <c r="D132" s="6" t="s">
        <v>172</v>
      </c>
      <c r="E132" s="11">
        <v>34402</v>
      </c>
      <c r="F132" s="12">
        <v>42925</v>
      </c>
      <c r="G132" s="11">
        <v>3</v>
      </c>
      <c r="H132" s="6" t="s">
        <v>180</v>
      </c>
      <c r="I132" s="6" t="s">
        <v>218</v>
      </c>
      <c r="K132" s="5"/>
    </row>
    <row r="133" spans="1:11" x14ac:dyDescent="0.35">
      <c r="A133" s="6" t="s">
        <v>141</v>
      </c>
      <c r="B133" s="6" t="s">
        <v>159</v>
      </c>
      <c r="C133" s="6" t="s">
        <v>167</v>
      </c>
      <c r="D133" s="6" t="s">
        <v>173</v>
      </c>
      <c r="E133" s="11">
        <v>38678</v>
      </c>
      <c r="F133" s="12">
        <v>42932</v>
      </c>
      <c r="G133" s="11">
        <v>3</v>
      </c>
      <c r="H133" s="6" t="s">
        <v>181</v>
      </c>
      <c r="I133" s="6" t="s">
        <v>275</v>
      </c>
      <c r="K133" s="5"/>
    </row>
    <row r="134" spans="1:11" x14ac:dyDescent="0.35">
      <c r="A134" s="6" t="s">
        <v>142</v>
      </c>
      <c r="B134" s="6" t="s">
        <v>164</v>
      </c>
      <c r="C134" s="6" t="s">
        <v>167</v>
      </c>
      <c r="D134" s="6" t="s">
        <v>172</v>
      </c>
      <c r="E134" s="11">
        <v>45758</v>
      </c>
      <c r="F134" s="12">
        <v>42939</v>
      </c>
      <c r="G134" s="11">
        <v>3</v>
      </c>
      <c r="H134" s="6" t="s">
        <v>181</v>
      </c>
      <c r="I134" s="6" t="s">
        <v>264</v>
      </c>
      <c r="K134" s="5"/>
    </row>
    <row r="135" spans="1:11" x14ac:dyDescent="0.35">
      <c r="A135" s="6" t="s">
        <v>143</v>
      </c>
      <c r="B135" s="6" t="s">
        <v>159</v>
      </c>
      <c r="C135" s="6" t="s">
        <v>170</v>
      </c>
      <c r="D135" s="6" t="s">
        <v>174</v>
      </c>
      <c r="E135" s="11">
        <v>62476</v>
      </c>
      <c r="F135" s="12">
        <v>42946</v>
      </c>
      <c r="G135" s="11">
        <v>1</v>
      </c>
      <c r="H135" s="6" t="s">
        <v>181</v>
      </c>
      <c r="I135" s="6" t="s">
        <v>231</v>
      </c>
      <c r="K135" s="5"/>
    </row>
    <row r="136" spans="1:11" x14ac:dyDescent="0.35">
      <c r="A136" s="6" t="s">
        <v>144</v>
      </c>
      <c r="B136" s="6" t="s">
        <v>178</v>
      </c>
      <c r="C136" s="6" t="s">
        <v>169</v>
      </c>
      <c r="D136" s="6" t="s">
        <v>175</v>
      </c>
      <c r="E136" s="11">
        <v>39280</v>
      </c>
      <c r="F136" s="12">
        <v>42953</v>
      </c>
      <c r="G136" s="11">
        <v>3</v>
      </c>
      <c r="H136" s="6" t="s">
        <v>181</v>
      </c>
      <c r="I136" s="6" t="s">
        <v>214</v>
      </c>
      <c r="K136" s="5"/>
    </row>
    <row r="137" spans="1:11" x14ac:dyDescent="0.35">
      <c r="A137" s="6" t="s">
        <v>145</v>
      </c>
      <c r="B137" s="6" t="s">
        <v>162</v>
      </c>
      <c r="C137" s="6" t="s">
        <v>166</v>
      </c>
      <c r="D137" s="6" t="s">
        <v>174</v>
      </c>
      <c r="E137" s="11">
        <v>60335</v>
      </c>
      <c r="F137" s="12">
        <v>42960</v>
      </c>
      <c r="G137" s="11">
        <v>4</v>
      </c>
      <c r="H137" s="6" t="s">
        <v>181</v>
      </c>
      <c r="I137" s="6" t="s">
        <v>227</v>
      </c>
      <c r="K137" s="5"/>
    </row>
    <row r="138" spans="1:11" x14ac:dyDescent="0.35">
      <c r="A138" s="6" t="s">
        <v>146</v>
      </c>
      <c r="B138" s="6" t="s">
        <v>164</v>
      </c>
      <c r="C138" s="6" t="s">
        <v>167</v>
      </c>
      <c r="D138" s="6" t="s">
        <v>172</v>
      </c>
      <c r="E138" s="11">
        <v>84968</v>
      </c>
      <c r="F138" s="12">
        <v>42967</v>
      </c>
      <c r="G138" s="11">
        <v>2.879032258064516</v>
      </c>
      <c r="H138" s="6" t="s">
        <v>181</v>
      </c>
      <c r="I138" s="6" t="s">
        <v>276</v>
      </c>
      <c r="K138" s="5"/>
    </row>
    <row r="139" spans="1:11" x14ac:dyDescent="0.35">
      <c r="A139" s="6" t="s">
        <v>147</v>
      </c>
      <c r="B139" s="6" t="s">
        <v>164</v>
      </c>
      <c r="C139" s="6" t="s">
        <v>170</v>
      </c>
      <c r="D139" s="6" t="s">
        <v>176</v>
      </c>
      <c r="E139" s="11">
        <v>84750</v>
      </c>
      <c r="F139" s="12">
        <v>42974</v>
      </c>
      <c r="G139" s="11">
        <v>4</v>
      </c>
      <c r="H139" s="6" t="s">
        <v>181</v>
      </c>
      <c r="I139" s="6" t="s">
        <v>195</v>
      </c>
      <c r="K139" s="5"/>
    </row>
    <row r="140" spans="1:11" x14ac:dyDescent="0.35">
      <c r="A140" s="6" t="s">
        <v>148</v>
      </c>
      <c r="B140" s="6" t="s">
        <v>165</v>
      </c>
      <c r="C140" s="6" t="s">
        <v>169</v>
      </c>
      <c r="D140" s="6" t="s">
        <v>174</v>
      </c>
      <c r="E140" s="11">
        <v>73348</v>
      </c>
      <c r="F140" s="12">
        <v>42981</v>
      </c>
      <c r="G140" s="11">
        <v>2</v>
      </c>
      <c r="H140" s="6" t="s">
        <v>180</v>
      </c>
      <c r="I140" s="6" t="s">
        <v>243</v>
      </c>
      <c r="K140" s="5"/>
    </row>
    <row r="141" spans="1:11" x14ac:dyDescent="0.35">
      <c r="A141" s="6" t="s">
        <v>149</v>
      </c>
      <c r="B141" s="6" t="s">
        <v>164</v>
      </c>
      <c r="C141" s="6" t="s">
        <v>168</v>
      </c>
      <c r="D141" s="6" t="s">
        <v>173</v>
      </c>
      <c r="E141" s="11">
        <v>66280.929577464791</v>
      </c>
      <c r="F141" s="12">
        <v>42988</v>
      </c>
      <c r="G141" s="11">
        <v>4</v>
      </c>
      <c r="H141" s="6" t="s">
        <v>180</v>
      </c>
      <c r="I141" s="6" t="s">
        <v>178</v>
      </c>
      <c r="K141" s="5"/>
    </row>
    <row r="142" spans="1:11" x14ac:dyDescent="0.35">
      <c r="A142" s="6" t="s">
        <v>150</v>
      </c>
      <c r="B142" s="6" t="s">
        <v>162</v>
      </c>
      <c r="C142" s="6" t="s">
        <v>170</v>
      </c>
      <c r="D142" s="6" t="s">
        <v>173</v>
      </c>
      <c r="E142" s="11">
        <v>66882</v>
      </c>
      <c r="F142" s="12">
        <v>42995</v>
      </c>
      <c r="G142" s="11">
        <v>5</v>
      </c>
      <c r="H142" s="6" t="s">
        <v>181</v>
      </c>
      <c r="I142" s="6" t="s">
        <v>207</v>
      </c>
      <c r="K142" s="5"/>
    </row>
    <row r="143" spans="1:11" x14ac:dyDescent="0.35">
      <c r="A143" s="6" t="s">
        <v>151</v>
      </c>
      <c r="B143" s="6" t="s">
        <v>160</v>
      </c>
      <c r="C143" s="6" t="s">
        <v>170</v>
      </c>
      <c r="D143" s="6" t="s">
        <v>174</v>
      </c>
      <c r="E143" s="11">
        <v>86775</v>
      </c>
      <c r="F143" s="12">
        <v>43002</v>
      </c>
      <c r="G143" s="11">
        <v>3</v>
      </c>
      <c r="H143" s="6" t="s">
        <v>181</v>
      </c>
      <c r="I143" s="6" t="s">
        <v>212</v>
      </c>
      <c r="K143" s="5"/>
    </row>
    <row r="144" spans="1:11" x14ac:dyDescent="0.35">
      <c r="A144" s="6" t="s">
        <v>152</v>
      </c>
      <c r="B144" s="6" t="s">
        <v>164</v>
      </c>
      <c r="C144" s="6" t="s">
        <v>168</v>
      </c>
      <c r="D144" s="6" t="s">
        <v>175</v>
      </c>
      <c r="E144" s="11">
        <v>91620</v>
      </c>
      <c r="F144" s="12">
        <v>43009</v>
      </c>
      <c r="G144" s="11">
        <v>2.879032258064516</v>
      </c>
      <c r="H144" s="6" t="s">
        <v>181</v>
      </c>
      <c r="I144" s="6" t="s">
        <v>277</v>
      </c>
      <c r="K144" s="5"/>
    </row>
    <row r="145" spans="1:11" x14ac:dyDescent="0.35">
      <c r="A145" s="6" t="s">
        <v>153</v>
      </c>
      <c r="B145" s="6" t="s">
        <v>159</v>
      </c>
      <c r="C145" s="6" t="s">
        <v>170</v>
      </c>
      <c r="D145" s="6" t="s">
        <v>174</v>
      </c>
      <c r="E145" s="11">
        <v>94148</v>
      </c>
      <c r="F145" s="12">
        <v>43016</v>
      </c>
      <c r="G145" s="11">
        <v>2</v>
      </c>
      <c r="H145" s="6" t="s">
        <v>181</v>
      </c>
      <c r="I145" s="6" t="s">
        <v>278</v>
      </c>
      <c r="K145" s="5"/>
    </row>
    <row r="146" spans="1:11" x14ac:dyDescent="0.35">
      <c r="A146" s="6" t="s">
        <v>154</v>
      </c>
      <c r="B146" s="6" t="s">
        <v>163</v>
      </c>
      <c r="C146" s="6" t="s">
        <v>168</v>
      </c>
      <c r="D146" s="6" t="s">
        <v>176</v>
      </c>
      <c r="E146" s="11">
        <v>35627</v>
      </c>
      <c r="F146" s="12">
        <v>43023</v>
      </c>
      <c r="G146" s="11">
        <v>5</v>
      </c>
      <c r="H146" s="6" t="s">
        <v>180</v>
      </c>
      <c r="I146" s="6" t="s">
        <v>275</v>
      </c>
      <c r="K146" s="5"/>
    </row>
    <row r="147" spans="1:11" x14ac:dyDescent="0.35">
      <c r="A147" s="6" t="s">
        <v>155</v>
      </c>
      <c r="B147" s="6" t="s">
        <v>161</v>
      </c>
      <c r="C147" s="6" t="s">
        <v>170</v>
      </c>
      <c r="D147" s="6" t="s">
        <v>173</v>
      </c>
      <c r="E147" s="11">
        <v>57141</v>
      </c>
      <c r="F147" s="12">
        <v>43030</v>
      </c>
      <c r="G147" s="11">
        <v>2</v>
      </c>
      <c r="H147" s="6" t="s">
        <v>180</v>
      </c>
      <c r="I147" s="6" t="s">
        <v>276</v>
      </c>
      <c r="K147" s="5"/>
    </row>
    <row r="148" spans="1:11" x14ac:dyDescent="0.35">
      <c r="A148" s="6" t="s">
        <v>156</v>
      </c>
      <c r="B148" s="6" t="s">
        <v>165</v>
      </c>
      <c r="C148" s="6" t="s">
        <v>168</v>
      </c>
      <c r="D148" s="6" t="s">
        <v>176</v>
      </c>
      <c r="E148" s="11">
        <v>65270</v>
      </c>
      <c r="F148" s="12">
        <v>43037</v>
      </c>
      <c r="G148" s="11">
        <v>1</v>
      </c>
      <c r="H148" s="6" t="s">
        <v>180</v>
      </c>
      <c r="I148" s="6" t="s">
        <v>279</v>
      </c>
      <c r="K148" s="5"/>
    </row>
    <row r="149" spans="1:11" x14ac:dyDescent="0.35">
      <c r="A149" s="6" t="s">
        <v>157</v>
      </c>
      <c r="B149" s="6" t="s">
        <v>165</v>
      </c>
      <c r="C149" s="6" t="s">
        <v>170</v>
      </c>
      <c r="D149" s="6" t="s">
        <v>175</v>
      </c>
      <c r="E149" s="11">
        <v>67335</v>
      </c>
      <c r="F149" s="12">
        <v>43044</v>
      </c>
      <c r="G149" s="11">
        <v>1</v>
      </c>
      <c r="H149" s="6" t="s">
        <v>180</v>
      </c>
      <c r="I149" s="6" t="s">
        <v>233</v>
      </c>
      <c r="K149" s="5"/>
    </row>
    <row r="150" spans="1:11" ht="15" customHeight="1" x14ac:dyDescent="0.35">
      <c r="A150" s="6" t="s">
        <v>158</v>
      </c>
      <c r="B150" s="6" t="s">
        <v>163</v>
      </c>
      <c r="C150" s="6" t="s">
        <v>170</v>
      </c>
      <c r="D150" s="6" t="s">
        <v>174</v>
      </c>
      <c r="E150" s="11">
        <v>98475</v>
      </c>
      <c r="F150" s="12">
        <v>43051</v>
      </c>
      <c r="G150" s="11">
        <v>5</v>
      </c>
      <c r="H150" s="6" t="s">
        <v>180</v>
      </c>
      <c r="I150" s="6" t="s">
        <v>280</v>
      </c>
      <c r="K150"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991D-DB39-4CE9-9EF7-9663F2B9F44D}">
  <sheetPr>
    <tabColor rgb="FF7030A0"/>
  </sheetPr>
  <dimension ref="A1:J150"/>
  <sheetViews>
    <sheetView zoomScaleNormal="100" workbookViewId="0"/>
  </sheetViews>
  <sheetFormatPr defaultColWidth="8.90625" defaultRowHeight="14.5" x14ac:dyDescent="0.35"/>
  <cols>
    <col min="1" max="2" width="15.6328125" customWidth="1"/>
    <col min="3" max="5" width="15.6328125" style="6" customWidth="1"/>
    <col min="6" max="6" width="16.453125" style="6" customWidth="1"/>
    <col min="7" max="8" width="15.6328125" style="6" customWidth="1"/>
    <col min="9" max="9" width="22.7265625" style="5" customWidth="1"/>
    <col min="10" max="10" width="8.81640625" style="6" customWidth="1"/>
    <col min="11" max="16384" width="8.90625" style="5"/>
  </cols>
  <sheetData>
    <row r="1" spans="1:10" ht="18.649999999999999" customHeight="1" x14ac:dyDescent="0.35">
      <c r="A1" s="22" t="s">
        <v>0</v>
      </c>
      <c r="B1" s="13" t="s">
        <v>1</v>
      </c>
      <c r="C1" s="13" t="s">
        <v>2</v>
      </c>
      <c r="D1" s="13" t="s">
        <v>3</v>
      </c>
      <c r="E1" s="13" t="s">
        <v>4</v>
      </c>
      <c r="F1" s="13" t="s">
        <v>6</v>
      </c>
      <c r="G1" s="13" t="s">
        <v>5</v>
      </c>
      <c r="H1" s="13" t="s">
        <v>7</v>
      </c>
      <c r="I1" s="13" t="s">
        <v>8</v>
      </c>
      <c r="J1" s="5"/>
    </row>
    <row r="2" spans="1:10" x14ac:dyDescent="0.35">
      <c r="A2" s="23" t="s">
        <v>137</v>
      </c>
      <c r="B2" s="14" t="s">
        <v>164</v>
      </c>
      <c r="C2" s="14" t="s">
        <v>168</v>
      </c>
      <c r="D2" s="14" t="s">
        <v>173</v>
      </c>
      <c r="E2" s="17">
        <v>30402</v>
      </c>
      <c r="F2" s="17">
        <v>1</v>
      </c>
      <c r="G2" s="15">
        <v>42904</v>
      </c>
      <c r="H2" s="14" t="s">
        <v>181</v>
      </c>
      <c r="I2" s="14" t="s">
        <v>274</v>
      </c>
      <c r="J2" s="5"/>
    </row>
    <row r="3" spans="1:10" x14ac:dyDescent="0.35">
      <c r="A3" s="23" t="s">
        <v>11</v>
      </c>
      <c r="B3" s="14" t="s">
        <v>160</v>
      </c>
      <c r="C3" s="14" t="s">
        <v>166</v>
      </c>
      <c r="D3" s="14" t="s">
        <v>172</v>
      </c>
      <c r="E3" s="17">
        <v>63184</v>
      </c>
      <c r="F3" s="17">
        <v>2</v>
      </c>
      <c r="G3" s="15">
        <v>42022</v>
      </c>
      <c r="H3" s="14" t="s">
        <v>181</v>
      </c>
      <c r="I3" s="14" t="s">
        <v>184</v>
      </c>
      <c r="J3" s="5"/>
    </row>
    <row r="4" spans="1:10" x14ac:dyDescent="0.35">
      <c r="A4" s="23" t="s">
        <v>119</v>
      </c>
      <c r="B4" s="14" t="s">
        <v>164</v>
      </c>
      <c r="C4" s="14" t="s">
        <v>168</v>
      </c>
      <c r="D4" s="14" t="s">
        <v>174</v>
      </c>
      <c r="E4" s="17">
        <v>31293</v>
      </c>
      <c r="F4" s="17">
        <v>2</v>
      </c>
      <c r="G4" s="15">
        <v>42533</v>
      </c>
      <c r="H4" s="14" t="s">
        <v>181</v>
      </c>
      <c r="I4" s="14" t="s">
        <v>264</v>
      </c>
      <c r="J4" s="5"/>
    </row>
    <row r="5" spans="1:10" x14ac:dyDescent="0.35">
      <c r="A5" s="23" t="s">
        <v>154</v>
      </c>
      <c r="B5" s="14" t="s">
        <v>163</v>
      </c>
      <c r="C5" s="14" t="s">
        <v>168</v>
      </c>
      <c r="D5" s="14" t="s">
        <v>176</v>
      </c>
      <c r="E5" s="17">
        <v>35627</v>
      </c>
      <c r="F5" s="17">
        <v>5</v>
      </c>
      <c r="G5" s="15">
        <v>43023</v>
      </c>
      <c r="H5" s="14" t="s">
        <v>180</v>
      </c>
      <c r="I5" s="14" t="s">
        <v>275</v>
      </c>
      <c r="J5" s="5"/>
    </row>
    <row r="6" spans="1:10" x14ac:dyDescent="0.35">
      <c r="A6" s="23" t="s">
        <v>14</v>
      </c>
      <c r="B6" s="14" t="s">
        <v>160</v>
      </c>
      <c r="C6" s="14" t="s">
        <v>169</v>
      </c>
      <c r="D6" s="14" t="s">
        <v>174</v>
      </c>
      <c r="E6" s="17">
        <v>78421</v>
      </c>
      <c r="F6" s="17">
        <v>2</v>
      </c>
      <c r="G6" s="15">
        <v>42043</v>
      </c>
      <c r="H6" s="14" t="s">
        <v>181</v>
      </c>
      <c r="I6" s="14" t="s">
        <v>187</v>
      </c>
      <c r="J6" s="5"/>
    </row>
    <row r="7" spans="1:10" x14ac:dyDescent="0.35">
      <c r="A7" s="23" t="s">
        <v>72</v>
      </c>
      <c r="B7" s="14" t="s">
        <v>159</v>
      </c>
      <c r="C7" s="14" t="s">
        <v>167</v>
      </c>
      <c r="D7" s="14" t="s">
        <v>173</v>
      </c>
      <c r="E7" s="17">
        <v>36541</v>
      </c>
      <c r="F7" s="17">
        <v>2</v>
      </c>
      <c r="G7" s="15">
        <v>42449</v>
      </c>
      <c r="H7" s="14" t="s">
        <v>181</v>
      </c>
      <c r="I7" s="14" t="s">
        <v>235</v>
      </c>
      <c r="J7" s="5"/>
    </row>
    <row r="8" spans="1:10" x14ac:dyDescent="0.35">
      <c r="A8" s="23" t="s">
        <v>16</v>
      </c>
      <c r="B8" s="14" t="s">
        <v>164</v>
      </c>
      <c r="C8" s="14" t="s">
        <v>170</v>
      </c>
      <c r="D8" s="14" t="s">
        <v>174</v>
      </c>
      <c r="E8" s="17">
        <v>35364</v>
      </c>
      <c r="F8" s="17">
        <v>2</v>
      </c>
      <c r="G8" s="15">
        <v>42057</v>
      </c>
      <c r="H8" s="14" t="s">
        <v>181</v>
      </c>
      <c r="I8" s="14" t="s">
        <v>188</v>
      </c>
      <c r="J8" s="5"/>
    </row>
    <row r="9" spans="1:10" x14ac:dyDescent="0.35">
      <c r="A9" s="23" t="s">
        <v>17</v>
      </c>
      <c r="B9" s="14" t="s">
        <v>160</v>
      </c>
      <c r="C9" s="14" t="s">
        <v>169</v>
      </c>
      <c r="D9" s="14" t="s">
        <v>172</v>
      </c>
      <c r="E9" s="17">
        <v>97881</v>
      </c>
      <c r="F9" s="17">
        <v>2.879032258064516</v>
      </c>
      <c r="G9" s="15">
        <v>42064</v>
      </c>
      <c r="H9" s="14" t="s">
        <v>181</v>
      </c>
      <c r="I9" s="14" t="s">
        <v>189</v>
      </c>
      <c r="J9" s="5"/>
    </row>
    <row r="10" spans="1:10" x14ac:dyDescent="0.35">
      <c r="A10" s="23" t="s">
        <v>141</v>
      </c>
      <c r="B10" s="14" t="s">
        <v>159</v>
      </c>
      <c r="C10" s="14" t="s">
        <v>167</v>
      </c>
      <c r="D10" s="14" t="s">
        <v>173</v>
      </c>
      <c r="E10" s="17">
        <v>38678</v>
      </c>
      <c r="F10" s="17">
        <v>3</v>
      </c>
      <c r="G10" s="15">
        <v>42932</v>
      </c>
      <c r="H10" s="14" t="s">
        <v>181</v>
      </c>
      <c r="I10" s="14" t="s">
        <v>275</v>
      </c>
      <c r="J10" s="5"/>
    </row>
    <row r="11" spans="1:10" x14ac:dyDescent="0.35">
      <c r="A11" s="23" t="s">
        <v>19</v>
      </c>
      <c r="B11" s="14" t="s">
        <v>163</v>
      </c>
      <c r="C11" s="14" t="s">
        <v>166</v>
      </c>
      <c r="D11" s="14" t="s">
        <v>175</v>
      </c>
      <c r="E11" s="17">
        <v>64247</v>
      </c>
      <c r="F11" s="17">
        <v>1</v>
      </c>
      <c r="G11" s="15">
        <v>42078</v>
      </c>
      <c r="H11" s="14" t="s">
        <v>180</v>
      </c>
      <c r="I11" s="14" t="s">
        <v>191</v>
      </c>
      <c r="J11" s="5"/>
    </row>
    <row r="12" spans="1:10" x14ac:dyDescent="0.35">
      <c r="A12" s="23" t="s">
        <v>20</v>
      </c>
      <c r="B12" s="14" t="s">
        <v>163</v>
      </c>
      <c r="C12" s="14" t="s">
        <v>169</v>
      </c>
      <c r="D12" s="14" t="s">
        <v>173</v>
      </c>
      <c r="E12" s="17">
        <v>91180</v>
      </c>
      <c r="F12" s="17">
        <v>5</v>
      </c>
      <c r="G12" s="15">
        <v>42085</v>
      </c>
      <c r="H12" s="14" t="s">
        <v>180</v>
      </c>
      <c r="I12" s="14" t="s">
        <v>192</v>
      </c>
      <c r="J12" s="5"/>
    </row>
    <row r="13" spans="1:10" x14ac:dyDescent="0.35">
      <c r="A13" s="23" t="s">
        <v>60</v>
      </c>
      <c r="B13" s="14" t="s">
        <v>163</v>
      </c>
      <c r="C13" s="14" t="s">
        <v>168</v>
      </c>
      <c r="D13" s="14" t="s">
        <v>174</v>
      </c>
      <c r="E13" s="17">
        <v>39423</v>
      </c>
      <c r="F13" s="17">
        <v>5</v>
      </c>
      <c r="G13" s="15">
        <v>42365</v>
      </c>
      <c r="H13" s="14" t="s">
        <v>180</v>
      </c>
      <c r="I13" s="14" t="s">
        <v>227</v>
      </c>
      <c r="J13" s="5"/>
    </row>
    <row r="14" spans="1:10" x14ac:dyDescent="0.35">
      <c r="A14" s="23" t="s">
        <v>22</v>
      </c>
      <c r="B14" s="14" t="s">
        <v>163</v>
      </c>
      <c r="C14" s="14" t="s">
        <v>170</v>
      </c>
      <c r="D14" s="14" t="s">
        <v>174</v>
      </c>
      <c r="E14" s="17">
        <v>62158</v>
      </c>
      <c r="F14" s="17">
        <v>4</v>
      </c>
      <c r="G14" s="15">
        <v>42099</v>
      </c>
      <c r="H14" s="14" t="s">
        <v>180</v>
      </c>
      <c r="I14" s="14" t="s">
        <v>193</v>
      </c>
      <c r="J14" s="5"/>
    </row>
    <row r="15" spans="1:10" x14ac:dyDescent="0.35">
      <c r="A15" s="23" t="s">
        <v>111</v>
      </c>
      <c r="B15" s="14" t="s">
        <v>160</v>
      </c>
      <c r="C15" s="14" t="s">
        <v>167</v>
      </c>
      <c r="D15" s="14" t="s">
        <v>172</v>
      </c>
      <c r="E15" s="17">
        <v>42096</v>
      </c>
      <c r="F15" s="17">
        <v>2.879032258064516</v>
      </c>
      <c r="G15" s="15">
        <v>42722</v>
      </c>
      <c r="H15" s="14" t="s">
        <v>181</v>
      </c>
      <c r="I15" s="14" t="s">
        <v>260</v>
      </c>
      <c r="J15" s="5"/>
    </row>
    <row r="16" spans="1:10" x14ac:dyDescent="0.35">
      <c r="A16" s="23" t="s">
        <v>24</v>
      </c>
      <c r="B16" s="14" t="s">
        <v>178</v>
      </c>
      <c r="C16" s="14" t="s">
        <v>169</v>
      </c>
      <c r="D16" s="14" t="s">
        <v>174</v>
      </c>
      <c r="E16" s="17">
        <v>92443</v>
      </c>
      <c r="F16" s="17">
        <v>3</v>
      </c>
      <c r="G16" s="15">
        <v>42113</v>
      </c>
      <c r="H16" s="14" t="s">
        <v>179</v>
      </c>
      <c r="I16" s="14" t="s">
        <v>195</v>
      </c>
      <c r="J16" s="5"/>
    </row>
    <row r="17" spans="1:10" x14ac:dyDescent="0.35">
      <c r="A17" s="23" t="s">
        <v>25</v>
      </c>
      <c r="B17" s="14" t="s">
        <v>165</v>
      </c>
      <c r="C17" s="14" t="s">
        <v>170</v>
      </c>
      <c r="D17" s="14" t="s">
        <v>172</v>
      </c>
      <c r="E17" s="17">
        <v>90271</v>
      </c>
      <c r="F17" s="17">
        <v>2.879032258064516</v>
      </c>
      <c r="G17" s="15">
        <v>42120</v>
      </c>
      <c r="H17" s="14" t="s">
        <v>180</v>
      </c>
      <c r="I17" s="14" t="s">
        <v>196</v>
      </c>
      <c r="J17" s="5"/>
    </row>
    <row r="18" spans="1:10" x14ac:dyDescent="0.35">
      <c r="A18" s="23" t="s">
        <v>26</v>
      </c>
      <c r="B18" s="14" t="s">
        <v>162</v>
      </c>
      <c r="C18" s="14" t="s">
        <v>166</v>
      </c>
      <c r="D18" s="14" t="s">
        <v>176</v>
      </c>
      <c r="E18" s="17">
        <v>41341</v>
      </c>
      <c r="F18" s="17">
        <v>1</v>
      </c>
      <c r="G18" s="15">
        <v>42127</v>
      </c>
      <c r="H18" s="14" t="s">
        <v>181</v>
      </c>
      <c r="I18" s="14" t="s">
        <v>197</v>
      </c>
      <c r="J18" s="5"/>
    </row>
    <row r="19" spans="1:10" x14ac:dyDescent="0.35">
      <c r="A19" s="23" t="s">
        <v>27</v>
      </c>
      <c r="B19" s="14" t="s">
        <v>160</v>
      </c>
      <c r="C19" s="14" t="s">
        <v>166</v>
      </c>
      <c r="D19" s="14" t="s">
        <v>175</v>
      </c>
      <c r="E19" s="17">
        <v>73602</v>
      </c>
      <c r="F19" s="17">
        <v>2.879032258064516</v>
      </c>
      <c r="G19" s="15">
        <v>42134</v>
      </c>
      <c r="H19" s="14" t="s">
        <v>181</v>
      </c>
      <c r="I19" s="14" t="s">
        <v>198</v>
      </c>
      <c r="J19" s="5"/>
    </row>
    <row r="20" spans="1:10" x14ac:dyDescent="0.35">
      <c r="A20" s="23" t="s">
        <v>28</v>
      </c>
      <c r="B20" s="14" t="s">
        <v>159</v>
      </c>
      <c r="C20" s="14" t="s">
        <v>170</v>
      </c>
      <c r="D20" s="14" t="s">
        <v>174</v>
      </c>
      <c r="E20" s="17">
        <v>67531</v>
      </c>
      <c r="F20" s="17">
        <v>5</v>
      </c>
      <c r="G20" s="15">
        <v>42141</v>
      </c>
      <c r="H20" s="14" t="s">
        <v>181</v>
      </c>
      <c r="I20" s="14" t="s">
        <v>199</v>
      </c>
      <c r="J20" s="5"/>
    </row>
    <row r="21" spans="1:10" x14ac:dyDescent="0.35">
      <c r="A21" s="23" t="s">
        <v>128</v>
      </c>
      <c r="B21" s="14" t="s">
        <v>159</v>
      </c>
      <c r="C21" s="14" t="s">
        <v>168</v>
      </c>
      <c r="D21" s="14" t="s">
        <v>176</v>
      </c>
      <c r="E21" s="17">
        <v>44358</v>
      </c>
      <c r="F21" s="17">
        <v>2.879032258064516</v>
      </c>
      <c r="G21" s="15">
        <v>42841</v>
      </c>
      <c r="H21" s="14" t="s">
        <v>181</v>
      </c>
      <c r="I21" s="14" t="s">
        <v>200</v>
      </c>
      <c r="J21" s="5"/>
    </row>
    <row r="22" spans="1:10" x14ac:dyDescent="0.35">
      <c r="A22" s="23" t="s">
        <v>130</v>
      </c>
      <c r="B22" s="14" t="s">
        <v>164</v>
      </c>
      <c r="C22" s="14" t="s">
        <v>168</v>
      </c>
      <c r="D22" s="14" t="s">
        <v>173</v>
      </c>
      <c r="E22" s="17">
        <v>45676</v>
      </c>
      <c r="F22" s="17">
        <v>2</v>
      </c>
      <c r="G22" s="15">
        <v>42855</v>
      </c>
      <c r="H22" s="14" t="s">
        <v>181</v>
      </c>
      <c r="I22" s="14" t="s">
        <v>269</v>
      </c>
      <c r="J22" s="5"/>
    </row>
    <row r="23" spans="1:10" x14ac:dyDescent="0.35">
      <c r="A23" s="23" t="s">
        <v>31</v>
      </c>
      <c r="B23" s="14" t="s">
        <v>159</v>
      </c>
      <c r="C23" s="14" t="s">
        <v>166</v>
      </c>
      <c r="D23" s="14" t="s">
        <v>174</v>
      </c>
      <c r="E23" s="17">
        <v>38333</v>
      </c>
      <c r="F23" s="17">
        <v>5</v>
      </c>
      <c r="G23" s="15">
        <v>42162</v>
      </c>
      <c r="H23" s="14" t="s">
        <v>181</v>
      </c>
      <c r="I23" s="14" t="s">
        <v>202</v>
      </c>
      <c r="J23" s="5"/>
    </row>
    <row r="24" spans="1:10" x14ac:dyDescent="0.35">
      <c r="A24" s="23" t="s">
        <v>32</v>
      </c>
      <c r="B24" s="14" t="s">
        <v>160</v>
      </c>
      <c r="C24" s="14" t="s">
        <v>170</v>
      </c>
      <c r="D24" s="14" t="s">
        <v>175</v>
      </c>
      <c r="E24" s="17">
        <v>36515</v>
      </c>
      <c r="F24" s="17">
        <v>3</v>
      </c>
      <c r="G24" s="15">
        <v>42169</v>
      </c>
      <c r="H24" s="14" t="s">
        <v>181</v>
      </c>
      <c r="I24" s="14" t="s">
        <v>203</v>
      </c>
      <c r="J24" s="5"/>
    </row>
    <row r="25" spans="1:10" x14ac:dyDescent="0.35">
      <c r="A25" s="23" t="s">
        <v>33</v>
      </c>
      <c r="B25" s="14" t="s">
        <v>163</v>
      </c>
      <c r="C25" s="14" t="s">
        <v>166</v>
      </c>
      <c r="D25" s="14" t="s">
        <v>174</v>
      </c>
      <c r="E25" s="17">
        <v>91005</v>
      </c>
      <c r="F25" s="17">
        <v>1</v>
      </c>
      <c r="G25" s="15">
        <v>42176</v>
      </c>
      <c r="H25" s="14" t="s">
        <v>180</v>
      </c>
      <c r="I25" s="14" t="s">
        <v>204</v>
      </c>
      <c r="J25" s="5"/>
    </row>
    <row r="26" spans="1:10" x14ac:dyDescent="0.35">
      <c r="A26" s="23" t="s">
        <v>34</v>
      </c>
      <c r="B26" s="14" t="s">
        <v>164</v>
      </c>
      <c r="C26" s="14" t="s">
        <v>170</v>
      </c>
      <c r="D26" s="14" t="s">
        <v>174</v>
      </c>
      <c r="E26" s="17">
        <v>52272</v>
      </c>
      <c r="F26" s="17">
        <v>3</v>
      </c>
      <c r="G26" s="15">
        <v>42183</v>
      </c>
      <c r="H26" s="14" t="s">
        <v>181</v>
      </c>
      <c r="I26" s="14" t="s">
        <v>205</v>
      </c>
      <c r="J26" s="5"/>
    </row>
    <row r="27" spans="1:10" x14ac:dyDescent="0.35">
      <c r="A27" s="23" t="s">
        <v>142</v>
      </c>
      <c r="B27" s="14" t="s">
        <v>164</v>
      </c>
      <c r="C27" s="14" t="s">
        <v>167</v>
      </c>
      <c r="D27" s="14" t="s">
        <v>172</v>
      </c>
      <c r="E27" s="17">
        <v>45758</v>
      </c>
      <c r="F27" s="17">
        <v>3</v>
      </c>
      <c r="G27" s="15">
        <v>42939</v>
      </c>
      <c r="H27" s="14" t="s">
        <v>181</v>
      </c>
      <c r="I27" s="14" t="s">
        <v>264</v>
      </c>
      <c r="J27" s="5"/>
    </row>
    <row r="28" spans="1:10" x14ac:dyDescent="0.35">
      <c r="A28" s="23" t="s">
        <v>36</v>
      </c>
      <c r="B28" s="14" t="s">
        <v>160</v>
      </c>
      <c r="C28" s="14" t="s">
        <v>169</v>
      </c>
      <c r="D28" s="14" t="s">
        <v>175</v>
      </c>
      <c r="E28" s="17">
        <v>41448</v>
      </c>
      <c r="F28" s="17">
        <v>3</v>
      </c>
      <c r="G28" s="15">
        <v>42197</v>
      </c>
      <c r="H28" s="14" t="s">
        <v>181</v>
      </c>
      <c r="I28" s="14" t="s">
        <v>207</v>
      </c>
      <c r="J28" s="5"/>
    </row>
    <row r="29" spans="1:10" x14ac:dyDescent="0.35">
      <c r="A29" s="23" t="s">
        <v>48</v>
      </c>
      <c r="B29" s="14" t="s">
        <v>164</v>
      </c>
      <c r="C29" s="14" t="s">
        <v>167</v>
      </c>
      <c r="D29" s="14" t="s">
        <v>175</v>
      </c>
      <c r="E29" s="17">
        <v>48224</v>
      </c>
      <c r="F29" s="17">
        <v>3</v>
      </c>
      <c r="G29" s="15">
        <v>42281</v>
      </c>
      <c r="H29" s="14" t="s">
        <v>181</v>
      </c>
      <c r="I29" s="14" t="s">
        <v>218</v>
      </c>
      <c r="J29" s="5"/>
    </row>
    <row r="30" spans="1:10" x14ac:dyDescent="0.35">
      <c r="A30" s="23" t="s">
        <v>38</v>
      </c>
      <c r="B30" s="14" t="s">
        <v>165</v>
      </c>
      <c r="C30" s="14" t="s">
        <v>170</v>
      </c>
      <c r="D30" s="14" t="s">
        <v>175</v>
      </c>
      <c r="E30" s="17">
        <v>92959</v>
      </c>
      <c r="F30" s="17">
        <v>5</v>
      </c>
      <c r="G30" s="15">
        <v>42211</v>
      </c>
      <c r="H30" s="14" t="s">
        <v>180</v>
      </c>
      <c r="I30" s="14" t="s">
        <v>209</v>
      </c>
      <c r="J30" s="5"/>
    </row>
    <row r="31" spans="1:10" x14ac:dyDescent="0.35">
      <c r="A31" s="23" t="s">
        <v>39</v>
      </c>
      <c r="B31" s="14" t="s">
        <v>178</v>
      </c>
      <c r="C31" s="14" t="s">
        <v>170</v>
      </c>
      <c r="D31" s="14" t="s">
        <v>174</v>
      </c>
      <c r="E31" s="17">
        <v>92259</v>
      </c>
      <c r="F31" s="17">
        <v>1</v>
      </c>
      <c r="G31" s="15">
        <v>42533</v>
      </c>
      <c r="H31" s="14" t="s">
        <v>179</v>
      </c>
      <c r="I31" s="14" t="s">
        <v>210</v>
      </c>
      <c r="J31" s="5"/>
    </row>
    <row r="32" spans="1:10" x14ac:dyDescent="0.35">
      <c r="A32" s="23" t="s">
        <v>139</v>
      </c>
      <c r="B32" s="14" t="s">
        <v>160</v>
      </c>
      <c r="C32" s="14" t="s">
        <v>168</v>
      </c>
      <c r="D32" s="14" t="s">
        <v>174</v>
      </c>
      <c r="E32" s="17">
        <v>48289</v>
      </c>
      <c r="F32" s="17">
        <v>3</v>
      </c>
      <c r="G32" s="15">
        <v>42533</v>
      </c>
      <c r="H32" s="14" t="s">
        <v>181</v>
      </c>
      <c r="I32" s="14" t="s">
        <v>189</v>
      </c>
      <c r="J32" s="5"/>
    </row>
    <row r="33" spans="1:10" x14ac:dyDescent="0.35">
      <c r="A33" s="23" t="s">
        <v>37</v>
      </c>
      <c r="B33" s="14" t="s">
        <v>161</v>
      </c>
      <c r="C33" s="14" t="s">
        <v>167</v>
      </c>
      <c r="D33" s="14" t="s">
        <v>175</v>
      </c>
      <c r="E33" s="17">
        <v>49282</v>
      </c>
      <c r="F33" s="17">
        <v>2</v>
      </c>
      <c r="G33" s="15">
        <v>42204</v>
      </c>
      <c r="H33" s="14" t="s">
        <v>181</v>
      </c>
      <c r="I33" s="14" t="s">
        <v>208</v>
      </c>
      <c r="J33" s="5"/>
    </row>
    <row r="34" spans="1:10" x14ac:dyDescent="0.35">
      <c r="A34" s="23" t="s">
        <v>42</v>
      </c>
      <c r="B34" s="14" t="s">
        <v>164</v>
      </c>
      <c r="C34" s="14" t="s">
        <v>170</v>
      </c>
      <c r="D34" s="14" t="s">
        <v>173</v>
      </c>
      <c r="E34" s="17">
        <v>95367</v>
      </c>
      <c r="F34" s="17">
        <v>2.879032258064516</v>
      </c>
      <c r="G34" s="15">
        <v>42239</v>
      </c>
      <c r="H34" s="14" t="s">
        <v>180</v>
      </c>
      <c r="I34" s="14" t="s">
        <v>213</v>
      </c>
      <c r="J34" s="5"/>
    </row>
    <row r="35" spans="1:10" x14ac:dyDescent="0.35">
      <c r="A35" s="23" t="s">
        <v>131</v>
      </c>
      <c r="B35" s="14" t="s">
        <v>165</v>
      </c>
      <c r="C35" s="14" t="s">
        <v>168</v>
      </c>
      <c r="D35" s="14" t="s">
        <v>172</v>
      </c>
      <c r="E35" s="17">
        <v>52036</v>
      </c>
      <c r="F35" s="17">
        <v>3</v>
      </c>
      <c r="G35" s="15">
        <v>42862</v>
      </c>
      <c r="H35" s="14" t="s">
        <v>180</v>
      </c>
      <c r="I35" s="14" t="s">
        <v>270</v>
      </c>
      <c r="J35" s="5"/>
    </row>
    <row r="36" spans="1:10" x14ac:dyDescent="0.35">
      <c r="A36" s="23" t="s">
        <v>44</v>
      </c>
      <c r="B36" s="14" t="s">
        <v>160</v>
      </c>
      <c r="C36" s="14" t="s">
        <v>170</v>
      </c>
      <c r="D36" s="14" t="s">
        <v>175</v>
      </c>
      <c r="E36" s="17">
        <v>54463</v>
      </c>
      <c r="F36" s="17">
        <v>4</v>
      </c>
      <c r="G36" s="15">
        <v>42253</v>
      </c>
      <c r="H36" s="14" t="s">
        <v>181</v>
      </c>
      <c r="I36" s="14" t="s">
        <v>178</v>
      </c>
      <c r="J36" s="5"/>
    </row>
    <row r="37" spans="1:10" x14ac:dyDescent="0.35">
      <c r="A37" s="23" t="s">
        <v>45</v>
      </c>
      <c r="B37" s="14" t="s">
        <v>160</v>
      </c>
      <c r="C37" s="14" t="s">
        <v>169</v>
      </c>
      <c r="D37" s="14" t="s">
        <v>173</v>
      </c>
      <c r="E37" s="17">
        <v>89781</v>
      </c>
      <c r="F37" s="17">
        <v>2.879032258064516</v>
      </c>
      <c r="G37" s="15">
        <v>42260</v>
      </c>
      <c r="H37" s="14" t="s">
        <v>181</v>
      </c>
      <c r="I37" s="14" t="s">
        <v>215</v>
      </c>
      <c r="J37" s="5"/>
    </row>
    <row r="38" spans="1:10" x14ac:dyDescent="0.35">
      <c r="A38" s="23" t="s">
        <v>10</v>
      </c>
      <c r="B38" s="14" t="s">
        <v>159</v>
      </c>
      <c r="C38" s="14" t="s">
        <v>167</v>
      </c>
      <c r="D38" s="14" t="s">
        <v>172</v>
      </c>
      <c r="E38" s="17">
        <v>54255</v>
      </c>
      <c r="F38" s="17">
        <v>1</v>
      </c>
      <c r="G38" s="15">
        <v>42015</v>
      </c>
      <c r="H38" s="14" t="s">
        <v>181</v>
      </c>
      <c r="I38" s="14" t="s">
        <v>183</v>
      </c>
      <c r="J38" s="5"/>
    </row>
    <row r="39" spans="1:10" x14ac:dyDescent="0.35">
      <c r="A39" s="23" t="s">
        <v>47</v>
      </c>
      <c r="B39" s="14" t="s">
        <v>161</v>
      </c>
      <c r="C39" s="14" t="s">
        <v>170</v>
      </c>
      <c r="D39" s="14" t="s">
        <v>175</v>
      </c>
      <c r="E39" s="17">
        <v>52093</v>
      </c>
      <c r="F39" s="17">
        <v>5</v>
      </c>
      <c r="G39" s="15">
        <v>42274</v>
      </c>
      <c r="H39" s="14" t="s">
        <v>180</v>
      </c>
      <c r="I39" s="14" t="s">
        <v>217</v>
      </c>
      <c r="J39" s="5"/>
    </row>
    <row r="40" spans="1:10" x14ac:dyDescent="0.35">
      <c r="A40" s="23" t="s">
        <v>96</v>
      </c>
      <c r="B40" s="14" t="s">
        <v>163</v>
      </c>
      <c r="C40" s="14" t="s">
        <v>167</v>
      </c>
      <c r="D40" s="14" t="s">
        <v>172</v>
      </c>
      <c r="E40" s="17">
        <v>55303</v>
      </c>
      <c r="F40" s="17">
        <v>4</v>
      </c>
      <c r="G40" s="15">
        <v>42617</v>
      </c>
      <c r="H40" s="14" t="s">
        <v>180</v>
      </c>
      <c r="I40" s="14" t="s">
        <v>203</v>
      </c>
      <c r="J40" s="5"/>
    </row>
    <row r="41" spans="1:10" x14ac:dyDescent="0.35">
      <c r="A41" s="23" t="s">
        <v>49</v>
      </c>
      <c r="B41" s="14" t="s">
        <v>165</v>
      </c>
      <c r="C41" s="14" t="s">
        <v>166</v>
      </c>
      <c r="D41" s="14" t="s">
        <v>175</v>
      </c>
      <c r="E41" s="17">
        <v>66280.929577464791</v>
      </c>
      <c r="F41" s="17">
        <v>4</v>
      </c>
      <c r="G41" s="15">
        <v>42533</v>
      </c>
      <c r="H41" s="14" t="s">
        <v>180</v>
      </c>
      <c r="I41" s="14" t="s">
        <v>219</v>
      </c>
      <c r="J41" s="5"/>
    </row>
    <row r="42" spans="1:10" x14ac:dyDescent="0.35">
      <c r="A42" s="23" t="s">
        <v>50</v>
      </c>
      <c r="B42" s="14" t="s">
        <v>160</v>
      </c>
      <c r="C42" s="14" t="s">
        <v>169</v>
      </c>
      <c r="D42" s="14" t="s">
        <v>172</v>
      </c>
      <c r="E42" s="17">
        <v>33956</v>
      </c>
      <c r="F42" s="17">
        <v>2.879032258064516</v>
      </c>
      <c r="G42" s="15">
        <v>42295</v>
      </c>
      <c r="H42" s="14" t="s">
        <v>181</v>
      </c>
      <c r="I42" s="14" t="s">
        <v>220</v>
      </c>
      <c r="J42" s="5"/>
    </row>
    <row r="43" spans="1:10" x14ac:dyDescent="0.35">
      <c r="A43" s="23" t="s">
        <v>51</v>
      </c>
      <c r="B43" s="14" t="s">
        <v>165</v>
      </c>
      <c r="C43" s="14" t="s">
        <v>170</v>
      </c>
      <c r="D43" s="14" t="s">
        <v>176</v>
      </c>
      <c r="E43" s="17">
        <v>64913</v>
      </c>
      <c r="F43" s="17">
        <v>1</v>
      </c>
      <c r="G43" s="15">
        <v>42302</v>
      </c>
      <c r="H43" s="14" t="s">
        <v>180</v>
      </c>
      <c r="I43" s="14" t="s">
        <v>221</v>
      </c>
      <c r="J43" s="5"/>
    </row>
    <row r="44" spans="1:10" x14ac:dyDescent="0.35">
      <c r="A44" s="23" t="s">
        <v>52</v>
      </c>
      <c r="B44" s="14" t="s">
        <v>160</v>
      </c>
      <c r="C44" s="14" t="s">
        <v>170</v>
      </c>
      <c r="D44" s="14" t="s">
        <v>176</v>
      </c>
      <c r="E44" s="17">
        <v>35326</v>
      </c>
      <c r="F44" s="17">
        <v>2.879032258064516</v>
      </c>
      <c r="G44" s="15">
        <v>42309</v>
      </c>
      <c r="H44" s="14" t="s">
        <v>181</v>
      </c>
      <c r="I44" s="14" t="s">
        <v>222</v>
      </c>
      <c r="J44" s="5"/>
    </row>
    <row r="45" spans="1:10" x14ac:dyDescent="0.35">
      <c r="A45" s="23" t="s">
        <v>53</v>
      </c>
      <c r="B45" s="14" t="s">
        <v>164</v>
      </c>
      <c r="C45" s="14" t="s">
        <v>166</v>
      </c>
      <c r="D45" s="14" t="s">
        <v>174</v>
      </c>
      <c r="E45" s="17">
        <v>81610</v>
      </c>
      <c r="F45" s="17">
        <v>1</v>
      </c>
      <c r="G45" s="15">
        <v>42316</v>
      </c>
      <c r="H45" s="14" t="s">
        <v>181</v>
      </c>
      <c r="I45" s="14" t="s">
        <v>223</v>
      </c>
      <c r="J45" s="5"/>
    </row>
    <row r="46" spans="1:10" x14ac:dyDescent="0.35">
      <c r="A46" s="23" t="s">
        <v>56</v>
      </c>
      <c r="B46" s="14" t="s">
        <v>164</v>
      </c>
      <c r="C46" s="14" t="s">
        <v>167</v>
      </c>
      <c r="D46" s="14" t="s">
        <v>174</v>
      </c>
      <c r="E46" s="17">
        <v>58245</v>
      </c>
      <c r="F46" s="17">
        <v>4</v>
      </c>
      <c r="G46" s="15">
        <v>42337</v>
      </c>
      <c r="H46" s="14" t="s">
        <v>181</v>
      </c>
      <c r="I46" s="14" t="s">
        <v>225</v>
      </c>
      <c r="J46" s="5"/>
    </row>
    <row r="47" spans="1:10" x14ac:dyDescent="0.35">
      <c r="A47" s="23" t="s">
        <v>55</v>
      </c>
      <c r="B47" s="14" t="s">
        <v>164</v>
      </c>
      <c r="C47" s="14" t="s">
        <v>169</v>
      </c>
      <c r="D47" s="14" t="s">
        <v>172</v>
      </c>
      <c r="E47" s="17">
        <v>92701</v>
      </c>
      <c r="F47" s="17">
        <v>3</v>
      </c>
      <c r="G47" s="15">
        <v>42330</v>
      </c>
      <c r="H47" s="14" t="s">
        <v>181</v>
      </c>
      <c r="I47" s="14" t="s">
        <v>224</v>
      </c>
      <c r="J47" s="5"/>
    </row>
    <row r="48" spans="1:10" x14ac:dyDescent="0.35">
      <c r="A48" s="23" t="s">
        <v>54</v>
      </c>
      <c r="B48" s="14" t="s">
        <v>178</v>
      </c>
      <c r="C48" s="14" t="s">
        <v>167</v>
      </c>
      <c r="D48" s="14" t="s">
        <v>174</v>
      </c>
      <c r="E48" s="17">
        <v>58962</v>
      </c>
      <c r="F48" s="17">
        <v>3</v>
      </c>
      <c r="G48" s="15">
        <v>42323</v>
      </c>
      <c r="H48" s="14" t="s">
        <v>179</v>
      </c>
      <c r="I48" s="14" t="s">
        <v>183</v>
      </c>
      <c r="J48" s="5"/>
    </row>
    <row r="49" spans="1:10" x14ac:dyDescent="0.35">
      <c r="A49" s="23" t="s">
        <v>57</v>
      </c>
      <c r="B49" s="14" t="s">
        <v>161</v>
      </c>
      <c r="C49" s="14" t="s">
        <v>166</v>
      </c>
      <c r="D49" s="14" t="s">
        <v>174</v>
      </c>
      <c r="E49" s="17">
        <v>66513</v>
      </c>
      <c r="F49" s="17">
        <v>2</v>
      </c>
      <c r="G49" s="15">
        <v>42344</v>
      </c>
      <c r="H49" s="14" t="s">
        <v>180</v>
      </c>
      <c r="I49" s="14" t="s">
        <v>187</v>
      </c>
      <c r="J49" s="5"/>
    </row>
    <row r="50" spans="1:10" x14ac:dyDescent="0.35">
      <c r="A50" s="23" t="s">
        <v>23</v>
      </c>
      <c r="B50" s="14" t="s">
        <v>162</v>
      </c>
      <c r="C50" s="14" t="s">
        <v>167</v>
      </c>
      <c r="D50" s="14" t="s">
        <v>174</v>
      </c>
      <c r="E50" s="17">
        <v>59894</v>
      </c>
      <c r="F50" s="17">
        <v>2</v>
      </c>
      <c r="G50" s="15">
        <v>42106</v>
      </c>
      <c r="H50" s="14" t="s">
        <v>181</v>
      </c>
      <c r="I50" s="14" t="s">
        <v>194</v>
      </c>
      <c r="J50" s="5"/>
    </row>
    <row r="51" spans="1:10" x14ac:dyDescent="0.35">
      <c r="A51" s="23" t="s">
        <v>59</v>
      </c>
      <c r="B51" s="14" t="s">
        <v>164</v>
      </c>
      <c r="C51" s="14" t="s">
        <v>170</v>
      </c>
      <c r="D51" s="14" t="s">
        <v>174</v>
      </c>
      <c r="E51" s="17">
        <v>30686</v>
      </c>
      <c r="F51" s="17">
        <v>2</v>
      </c>
      <c r="G51" s="15">
        <v>42533</v>
      </c>
      <c r="H51" s="14" t="s">
        <v>181</v>
      </c>
      <c r="I51" s="14" t="s">
        <v>226</v>
      </c>
      <c r="J51" s="5"/>
    </row>
    <row r="52" spans="1:10" x14ac:dyDescent="0.35">
      <c r="A52" s="23" t="s">
        <v>65</v>
      </c>
      <c r="B52" s="14" t="s">
        <v>161</v>
      </c>
      <c r="C52" s="14" t="s">
        <v>168</v>
      </c>
      <c r="D52" s="14" t="s">
        <v>176</v>
      </c>
      <c r="E52" s="17">
        <v>60011</v>
      </c>
      <c r="F52" s="17">
        <v>1</v>
      </c>
      <c r="G52" s="15">
        <v>42400</v>
      </c>
      <c r="H52" s="14" t="s">
        <v>180</v>
      </c>
      <c r="I52" s="14" t="s">
        <v>231</v>
      </c>
      <c r="J52" s="5"/>
    </row>
    <row r="53" spans="1:10" x14ac:dyDescent="0.35">
      <c r="A53" s="23" t="s">
        <v>61</v>
      </c>
      <c r="B53" s="14" t="s">
        <v>159</v>
      </c>
      <c r="C53" s="14" t="s">
        <v>170</v>
      </c>
      <c r="D53" s="14" t="s">
        <v>174</v>
      </c>
      <c r="E53" s="17">
        <v>30280</v>
      </c>
      <c r="F53" s="17">
        <v>1</v>
      </c>
      <c r="G53" s="15">
        <v>42372</v>
      </c>
      <c r="H53" s="14" t="s">
        <v>181</v>
      </c>
      <c r="I53" s="14" t="s">
        <v>228</v>
      </c>
      <c r="J53" s="5"/>
    </row>
    <row r="54" spans="1:10" x14ac:dyDescent="0.35">
      <c r="A54" s="23" t="s">
        <v>62</v>
      </c>
      <c r="B54" s="14" t="s">
        <v>159</v>
      </c>
      <c r="C54" s="14" t="s">
        <v>166</v>
      </c>
      <c r="D54" s="14" t="s">
        <v>175</v>
      </c>
      <c r="E54" s="17">
        <v>33352</v>
      </c>
      <c r="F54" s="17">
        <v>3</v>
      </c>
      <c r="G54" s="15">
        <v>42379</v>
      </c>
      <c r="H54" s="14" t="s">
        <v>181</v>
      </c>
      <c r="I54" s="14" t="s">
        <v>200</v>
      </c>
      <c r="J54" s="5"/>
    </row>
    <row r="55" spans="1:10" x14ac:dyDescent="0.35">
      <c r="A55" s="23" t="s">
        <v>63</v>
      </c>
      <c r="B55" s="14" t="s">
        <v>165</v>
      </c>
      <c r="C55" s="14" t="s">
        <v>170</v>
      </c>
      <c r="D55" s="14" t="s">
        <v>175</v>
      </c>
      <c r="E55" s="17">
        <v>75633</v>
      </c>
      <c r="F55" s="17">
        <v>5</v>
      </c>
      <c r="G55" s="15">
        <v>42386</v>
      </c>
      <c r="H55" s="14" t="s">
        <v>180</v>
      </c>
      <c r="I55" s="14" t="s">
        <v>229</v>
      </c>
      <c r="J55" s="5"/>
    </row>
    <row r="56" spans="1:10" x14ac:dyDescent="0.35">
      <c r="A56" s="23" t="s">
        <v>64</v>
      </c>
      <c r="B56" s="14" t="s">
        <v>164</v>
      </c>
      <c r="C56" s="14" t="s">
        <v>170</v>
      </c>
      <c r="D56" s="14" t="s">
        <v>173</v>
      </c>
      <c r="E56" s="17">
        <v>74815</v>
      </c>
      <c r="F56" s="17">
        <v>5</v>
      </c>
      <c r="G56" s="15">
        <v>42393</v>
      </c>
      <c r="H56" s="14" t="s">
        <v>181</v>
      </c>
      <c r="I56" s="14" t="s">
        <v>230</v>
      </c>
      <c r="J56" s="5"/>
    </row>
    <row r="57" spans="1:10" x14ac:dyDescent="0.35">
      <c r="A57" s="23" t="s">
        <v>76</v>
      </c>
      <c r="B57" s="14" t="s">
        <v>160</v>
      </c>
      <c r="C57" s="14" t="s">
        <v>168</v>
      </c>
      <c r="D57" s="14" t="s">
        <v>174</v>
      </c>
      <c r="E57" s="17">
        <v>61942</v>
      </c>
      <c r="F57" s="17">
        <v>3</v>
      </c>
      <c r="G57" s="15">
        <v>42477</v>
      </c>
      <c r="H57" s="14" t="s">
        <v>181</v>
      </c>
      <c r="I57" s="14" t="s">
        <v>239</v>
      </c>
      <c r="J57" s="5"/>
    </row>
    <row r="58" spans="1:10" x14ac:dyDescent="0.35">
      <c r="A58" s="23" t="s">
        <v>66</v>
      </c>
      <c r="B58" s="14" t="s">
        <v>159</v>
      </c>
      <c r="C58" s="14" t="s">
        <v>170</v>
      </c>
      <c r="D58" s="14" t="s">
        <v>174</v>
      </c>
      <c r="E58" s="17">
        <v>96949</v>
      </c>
      <c r="F58" s="17">
        <v>3</v>
      </c>
      <c r="G58" s="15">
        <v>42407</v>
      </c>
      <c r="H58" s="14" t="s">
        <v>181</v>
      </c>
      <c r="I58" s="14" t="s">
        <v>207</v>
      </c>
      <c r="J58" s="5"/>
    </row>
    <row r="59" spans="1:10" x14ac:dyDescent="0.35">
      <c r="A59" s="23" t="s">
        <v>67</v>
      </c>
      <c r="B59" s="14" t="s">
        <v>163</v>
      </c>
      <c r="C59" s="14" t="s">
        <v>170</v>
      </c>
      <c r="D59" s="14" t="s">
        <v>174</v>
      </c>
      <c r="E59" s="17">
        <v>84924</v>
      </c>
      <c r="F59" s="17">
        <v>5</v>
      </c>
      <c r="G59" s="15">
        <v>42414</v>
      </c>
      <c r="H59" s="14" t="s">
        <v>180</v>
      </c>
      <c r="I59" s="14" t="s">
        <v>232</v>
      </c>
      <c r="J59" s="5"/>
    </row>
    <row r="60" spans="1:10" x14ac:dyDescent="0.35">
      <c r="A60" s="23" t="s">
        <v>68</v>
      </c>
      <c r="B60" s="14" t="s">
        <v>163</v>
      </c>
      <c r="C60" s="14" t="s">
        <v>166</v>
      </c>
      <c r="D60" s="14" t="s">
        <v>173</v>
      </c>
      <c r="E60" s="17">
        <v>82033</v>
      </c>
      <c r="F60" s="17">
        <v>1</v>
      </c>
      <c r="G60" s="15">
        <v>42421</v>
      </c>
      <c r="H60" s="14" t="s">
        <v>180</v>
      </c>
      <c r="I60" s="14" t="s">
        <v>223</v>
      </c>
      <c r="J60" s="5"/>
    </row>
    <row r="61" spans="1:10" x14ac:dyDescent="0.35">
      <c r="A61" s="23" t="s">
        <v>69</v>
      </c>
      <c r="B61" s="14" t="s">
        <v>178</v>
      </c>
      <c r="C61" s="14" t="s">
        <v>170</v>
      </c>
      <c r="D61" s="14" t="s">
        <v>172</v>
      </c>
      <c r="E61" s="17">
        <v>66280.929577464791</v>
      </c>
      <c r="F61" s="17">
        <v>5</v>
      </c>
      <c r="G61" s="15">
        <v>42533</v>
      </c>
      <c r="H61" s="14" t="s">
        <v>179</v>
      </c>
      <c r="I61" s="14" t="s">
        <v>233</v>
      </c>
      <c r="J61" s="5"/>
    </row>
    <row r="62" spans="1:10" x14ac:dyDescent="0.35">
      <c r="A62" s="23" t="s">
        <v>70</v>
      </c>
      <c r="B62" s="14" t="s">
        <v>159</v>
      </c>
      <c r="C62" s="14" t="s">
        <v>170</v>
      </c>
      <c r="D62" s="14" t="s">
        <v>176</v>
      </c>
      <c r="E62" s="17">
        <v>31499</v>
      </c>
      <c r="F62" s="17">
        <v>2</v>
      </c>
      <c r="G62" s="15">
        <v>42435</v>
      </c>
      <c r="H62" s="14" t="s">
        <v>181</v>
      </c>
      <c r="I62" s="14" t="s">
        <v>215</v>
      </c>
      <c r="J62" s="5"/>
    </row>
    <row r="63" spans="1:10" x14ac:dyDescent="0.35">
      <c r="A63" s="23" t="s">
        <v>71</v>
      </c>
      <c r="B63" s="14" t="s">
        <v>164</v>
      </c>
      <c r="C63" s="14" t="s">
        <v>169</v>
      </c>
      <c r="D63" s="14" t="s">
        <v>175</v>
      </c>
      <c r="E63" s="17">
        <v>97981</v>
      </c>
      <c r="F63" s="17">
        <v>5</v>
      </c>
      <c r="G63" s="15">
        <v>42442</v>
      </c>
      <c r="H63" s="14" t="s">
        <v>181</v>
      </c>
      <c r="I63" s="14" t="s">
        <v>234</v>
      </c>
      <c r="J63" s="5"/>
    </row>
    <row r="64" spans="1:10" x14ac:dyDescent="0.35">
      <c r="A64" s="23" t="s">
        <v>13</v>
      </c>
      <c r="B64" s="14" t="s">
        <v>162</v>
      </c>
      <c r="C64" s="14" t="s">
        <v>168</v>
      </c>
      <c r="D64" s="14" t="s">
        <v>172</v>
      </c>
      <c r="E64" s="17">
        <v>64120</v>
      </c>
      <c r="F64" s="17">
        <v>1</v>
      </c>
      <c r="G64" s="15">
        <v>42036</v>
      </c>
      <c r="H64" s="14" t="s">
        <v>181</v>
      </c>
      <c r="I64" s="14" t="s">
        <v>186</v>
      </c>
      <c r="J64" s="5"/>
    </row>
    <row r="65" spans="1:10" x14ac:dyDescent="0.35">
      <c r="A65" s="23" t="s">
        <v>73</v>
      </c>
      <c r="B65" s="14" t="s">
        <v>161</v>
      </c>
      <c r="C65" s="14" t="s">
        <v>169</v>
      </c>
      <c r="D65" s="14" t="s">
        <v>174</v>
      </c>
      <c r="E65" s="17">
        <v>84737</v>
      </c>
      <c r="F65" s="17">
        <v>1</v>
      </c>
      <c r="G65" s="15">
        <v>42456</v>
      </c>
      <c r="H65" s="14" t="s">
        <v>180</v>
      </c>
      <c r="I65" s="14" t="s">
        <v>236</v>
      </c>
      <c r="J65" s="5"/>
    </row>
    <row r="66" spans="1:10" x14ac:dyDescent="0.35">
      <c r="A66" s="23" t="s">
        <v>74</v>
      </c>
      <c r="B66" s="14" t="s">
        <v>163</v>
      </c>
      <c r="C66" s="14" t="s">
        <v>166</v>
      </c>
      <c r="D66" s="14" t="s">
        <v>174</v>
      </c>
      <c r="E66" s="17">
        <v>33468</v>
      </c>
      <c r="F66" s="17">
        <v>4</v>
      </c>
      <c r="G66" s="15">
        <v>42463</v>
      </c>
      <c r="H66" s="14" t="s">
        <v>180</v>
      </c>
      <c r="I66" s="14" t="s">
        <v>237</v>
      </c>
      <c r="J66" s="5"/>
    </row>
    <row r="67" spans="1:10" x14ac:dyDescent="0.35">
      <c r="A67" s="23" t="s">
        <v>75</v>
      </c>
      <c r="B67" s="14" t="s">
        <v>163</v>
      </c>
      <c r="C67" s="14" t="s">
        <v>170</v>
      </c>
      <c r="D67" s="14" t="s">
        <v>176</v>
      </c>
      <c r="E67" s="17">
        <v>96365</v>
      </c>
      <c r="F67" s="17">
        <v>3</v>
      </c>
      <c r="G67" s="15">
        <v>42470</v>
      </c>
      <c r="H67" s="14" t="s">
        <v>180</v>
      </c>
      <c r="I67" s="14" t="s">
        <v>238</v>
      </c>
      <c r="J67" s="5"/>
    </row>
    <row r="68" spans="1:10" x14ac:dyDescent="0.35">
      <c r="A68" s="23" t="s">
        <v>46</v>
      </c>
      <c r="B68" s="14" t="s">
        <v>160</v>
      </c>
      <c r="C68" s="14" t="s">
        <v>167</v>
      </c>
      <c r="D68" s="14" t="s">
        <v>174</v>
      </c>
      <c r="E68" s="17">
        <v>64796</v>
      </c>
      <c r="F68" s="17">
        <v>2.879032258064516</v>
      </c>
      <c r="G68" s="15">
        <v>42267</v>
      </c>
      <c r="H68" s="14" t="s">
        <v>181</v>
      </c>
      <c r="I68" s="14" t="s">
        <v>216</v>
      </c>
      <c r="J68" s="5"/>
    </row>
    <row r="69" spans="1:10" x14ac:dyDescent="0.35">
      <c r="A69" s="23" t="s">
        <v>77</v>
      </c>
      <c r="B69" s="14" t="s">
        <v>163</v>
      </c>
      <c r="C69" s="14" t="s">
        <v>166</v>
      </c>
      <c r="D69" s="14" t="s">
        <v>175</v>
      </c>
      <c r="E69" s="17">
        <v>41467</v>
      </c>
      <c r="F69" s="17">
        <v>2</v>
      </c>
      <c r="G69" s="15">
        <v>42484</v>
      </c>
      <c r="H69" s="14" t="s">
        <v>180</v>
      </c>
      <c r="I69" s="14" t="s">
        <v>201</v>
      </c>
      <c r="J69" s="5"/>
    </row>
    <row r="70" spans="1:10" x14ac:dyDescent="0.35">
      <c r="A70" s="23" t="s">
        <v>78</v>
      </c>
      <c r="B70" s="14" t="s">
        <v>165</v>
      </c>
      <c r="C70" s="14" t="s">
        <v>166</v>
      </c>
      <c r="D70" s="14" t="s">
        <v>174</v>
      </c>
      <c r="E70" s="17">
        <v>77096</v>
      </c>
      <c r="F70" s="17">
        <v>1</v>
      </c>
      <c r="G70" s="15">
        <v>42491</v>
      </c>
      <c r="H70" s="14" t="s">
        <v>180</v>
      </c>
      <c r="I70" s="14" t="s">
        <v>240</v>
      </c>
      <c r="J70" s="5"/>
    </row>
    <row r="71" spans="1:10" x14ac:dyDescent="0.35">
      <c r="A71" s="23" t="s">
        <v>156</v>
      </c>
      <c r="B71" s="14" t="s">
        <v>165</v>
      </c>
      <c r="C71" s="14" t="s">
        <v>168</v>
      </c>
      <c r="D71" s="14" t="s">
        <v>176</v>
      </c>
      <c r="E71" s="17">
        <v>65270</v>
      </c>
      <c r="F71" s="17">
        <v>1</v>
      </c>
      <c r="G71" s="15">
        <v>43037</v>
      </c>
      <c r="H71" s="14" t="s">
        <v>180</v>
      </c>
      <c r="I71" s="14" t="s">
        <v>279</v>
      </c>
      <c r="J71" s="5"/>
    </row>
    <row r="72" spans="1:10" x14ac:dyDescent="0.35">
      <c r="A72" s="23" t="s">
        <v>80</v>
      </c>
      <c r="B72" s="14" t="s">
        <v>159</v>
      </c>
      <c r="C72" s="14" t="s">
        <v>170</v>
      </c>
      <c r="D72" s="14" t="s">
        <v>173</v>
      </c>
      <c r="E72" s="17">
        <v>85065</v>
      </c>
      <c r="F72" s="17">
        <v>3</v>
      </c>
      <c r="G72" s="15">
        <v>42505</v>
      </c>
      <c r="H72" s="14" t="s">
        <v>181</v>
      </c>
      <c r="I72" s="14" t="s">
        <v>241</v>
      </c>
      <c r="J72" s="5"/>
    </row>
    <row r="73" spans="1:10" x14ac:dyDescent="0.35">
      <c r="A73" s="23" t="s">
        <v>81</v>
      </c>
      <c r="B73" s="14" t="s">
        <v>165</v>
      </c>
      <c r="C73" s="14" t="s">
        <v>170</v>
      </c>
      <c r="D73" s="14" t="s">
        <v>174</v>
      </c>
      <c r="E73" s="17">
        <v>56512</v>
      </c>
      <c r="F73" s="17">
        <v>2.879032258064516</v>
      </c>
      <c r="G73" s="15">
        <v>42512</v>
      </c>
      <c r="H73" s="14" t="s">
        <v>180</v>
      </c>
      <c r="I73" s="14" t="s">
        <v>190</v>
      </c>
      <c r="J73" s="5"/>
    </row>
    <row r="74" spans="1:10" x14ac:dyDescent="0.35">
      <c r="A74" s="23" t="s">
        <v>88</v>
      </c>
      <c r="B74" s="14" t="s">
        <v>164</v>
      </c>
      <c r="C74" s="14" t="s">
        <v>168</v>
      </c>
      <c r="D74" s="14" t="s">
        <v>173</v>
      </c>
      <c r="E74" s="17">
        <v>66079</v>
      </c>
      <c r="F74" s="17">
        <v>2</v>
      </c>
      <c r="G74" s="15">
        <v>42561</v>
      </c>
      <c r="H74" s="14" t="s">
        <v>180</v>
      </c>
      <c r="I74" s="14" t="s">
        <v>245</v>
      </c>
      <c r="J74" s="5"/>
    </row>
    <row r="75" spans="1:10" x14ac:dyDescent="0.35">
      <c r="A75" s="23" t="s">
        <v>83</v>
      </c>
      <c r="B75" s="14" t="s">
        <v>163</v>
      </c>
      <c r="C75" s="14" t="s">
        <v>170</v>
      </c>
      <c r="D75" s="14" t="s">
        <v>172</v>
      </c>
      <c r="E75" s="17">
        <v>41243</v>
      </c>
      <c r="F75" s="17">
        <v>2.879032258064516</v>
      </c>
      <c r="G75" s="15">
        <v>42526</v>
      </c>
      <c r="H75" s="14" t="s">
        <v>180</v>
      </c>
      <c r="I75" s="14" t="s">
        <v>211</v>
      </c>
      <c r="J75" s="5"/>
    </row>
    <row r="76" spans="1:10" x14ac:dyDescent="0.35">
      <c r="A76" s="23" t="s">
        <v>29</v>
      </c>
      <c r="B76" s="14" t="s">
        <v>162</v>
      </c>
      <c r="C76" s="14" t="s">
        <v>167</v>
      </c>
      <c r="D76" s="14" t="s">
        <v>173</v>
      </c>
      <c r="E76" s="17">
        <v>66280.929577464791</v>
      </c>
      <c r="F76" s="17">
        <v>2</v>
      </c>
      <c r="G76" s="15">
        <v>42148</v>
      </c>
      <c r="H76" s="14" t="s">
        <v>181</v>
      </c>
      <c r="I76" s="14" t="s">
        <v>200</v>
      </c>
      <c r="J76" s="5"/>
    </row>
    <row r="77" spans="1:10" x14ac:dyDescent="0.35">
      <c r="A77" s="23" t="s">
        <v>85</v>
      </c>
      <c r="B77" s="14" t="s">
        <v>159</v>
      </c>
      <c r="C77" s="14" t="s">
        <v>169</v>
      </c>
      <c r="D77" s="14" t="s">
        <v>174</v>
      </c>
      <c r="E77" s="17">
        <v>94301</v>
      </c>
      <c r="F77" s="17">
        <v>1</v>
      </c>
      <c r="G77" s="15">
        <v>42540</v>
      </c>
      <c r="H77" s="14" t="s">
        <v>181</v>
      </c>
      <c r="I77" s="14" t="s">
        <v>223</v>
      </c>
      <c r="J77" s="5"/>
    </row>
    <row r="78" spans="1:10" x14ac:dyDescent="0.35">
      <c r="A78" s="23" t="s">
        <v>86</v>
      </c>
      <c r="B78" s="14" t="s">
        <v>162</v>
      </c>
      <c r="C78" s="14" t="s">
        <v>170</v>
      </c>
      <c r="D78" s="14" t="s">
        <v>175</v>
      </c>
      <c r="E78" s="17">
        <v>69166</v>
      </c>
      <c r="F78" s="17">
        <v>1</v>
      </c>
      <c r="G78" s="15">
        <v>42547</v>
      </c>
      <c r="H78" s="14" t="s">
        <v>181</v>
      </c>
      <c r="I78" s="14" t="s">
        <v>243</v>
      </c>
      <c r="J78" s="5"/>
    </row>
    <row r="79" spans="1:10" x14ac:dyDescent="0.35">
      <c r="A79" s="23" t="s">
        <v>87</v>
      </c>
      <c r="B79" s="14" t="s">
        <v>163</v>
      </c>
      <c r="C79" s="14" t="s">
        <v>170</v>
      </c>
      <c r="D79" s="14" t="s">
        <v>175</v>
      </c>
      <c r="E79" s="17">
        <v>78245</v>
      </c>
      <c r="F79" s="17">
        <v>2</v>
      </c>
      <c r="G79" s="15">
        <v>42554</v>
      </c>
      <c r="H79" s="14" t="s">
        <v>180</v>
      </c>
      <c r="I79" s="14" t="s">
        <v>244</v>
      </c>
      <c r="J79" s="5"/>
    </row>
    <row r="80" spans="1:10" x14ac:dyDescent="0.35">
      <c r="A80" s="23" t="s">
        <v>149</v>
      </c>
      <c r="B80" s="14" t="s">
        <v>164</v>
      </c>
      <c r="C80" s="14" t="s">
        <v>168</v>
      </c>
      <c r="D80" s="14" t="s">
        <v>173</v>
      </c>
      <c r="E80" s="17">
        <v>66280.929577464791</v>
      </c>
      <c r="F80" s="17">
        <v>4</v>
      </c>
      <c r="G80" s="15">
        <v>42988</v>
      </c>
      <c r="H80" s="14" t="s">
        <v>180</v>
      </c>
      <c r="I80" s="14" t="s">
        <v>178</v>
      </c>
      <c r="J80" s="5"/>
    </row>
    <row r="81" spans="1:10" x14ac:dyDescent="0.35">
      <c r="A81" s="23" t="s">
        <v>89</v>
      </c>
      <c r="B81" s="14" t="s">
        <v>159</v>
      </c>
      <c r="C81" s="14" t="s">
        <v>170</v>
      </c>
      <c r="D81" s="14" t="s">
        <v>174</v>
      </c>
      <c r="E81" s="17">
        <v>66280.929577464791</v>
      </c>
      <c r="F81" s="17">
        <v>2.879032258064516</v>
      </c>
      <c r="G81" s="15">
        <v>42533</v>
      </c>
      <c r="H81" s="14" t="s">
        <v>181</v>
      </c>
      <c r="I81" s="14" t="s">
        <v>208</v>
      </c>
      <c r="J81" s="5"/>
    </row>
    <row r="82" spans="1:10" x14ac:dyDescent="0.35">
      <c r="A82" s="23" t="s">
        <v>117</v>
      </c>
      <c r="B82" s="14" t="s">
        <v>163</v>
      </c>
      <c r="C82" s="14" t="s">
        <v>167</v>
      </c>
      <c r="D82" s="14" t="s">
        <v>174</v>
      </c>
      <c r="E82" s="17">
        <v>66761</v>
      </c>
      <c r="F82" s="17">
        <v>1</v>
      </c>
      <c r="G82" s="15">
        <v>42764</v>
      </c>
      <c r="H82" s="14" t="s">
        <v>180</v>
      </c>
      <c r="I82" s="14" t="s">
        <v>262</v>
      </c>
      <c r="J82" s="5"/>
    </row>
    <row r="83" spans="1:10" x14ac:dyDescent="0.35">
      <c r="A83" s="23" t="s">
        <v>91</v>
      </c>
      <c r="B83" s="14" t="s">
        <v>159</v>
      </c>
      <c r="C83" s="14" t="s">
        <v>169</v>
      </c>
      <c r="D83" s="14" t="s">
        <v>175</v>
      </c>
      <c r="E83" s="17">
        <v>42262</v>
      </c>
      <c r="F83" s="17">
        <v>1</v>
      </c>
      <c r="G83" s="15">
        <v>42582</v>
      </c>
      <c r="H83" s="14" t="s">
        <v>181</v>
      </c>
      <c r="I83" s="14" t="s">
        <v>247</v>
      </c>
      <c r="J83" s="5"/>
    </row>
    <row r="84" spans="1:10" x14ac:dyDescent="0.35">
      <c r="A84" s="23" t="s">
        <v>15</v>
      </c>
      <c r="B84" s="14" t="s">
        <v>163</v>
      </c>
      <c r="C84" s="14" t="s">
        <v>168</v>
      </c>
      <c r="D84" s="14" t="s">
        <v>174</v>
      </c>
      <c r="E84" s="17">
        <v>67721</v>
      </c>
      <c r="F84" s="17">
        <v>2.879032258064516</v>
      </c>
      <c r="G84" s="15">
        <v>42050</v>
      </c>
      <c r="H84" s="14" t="s">
        <v>180</v>
      </c>
      <c r="I84" s="14" t="s">
        <v>185</v>
      </c>
      <c r="J84" s="5"/>
    </row>
    <row r="85" spans="1:10" x14ac:dyDescent="0.35">
      <c r="A85" s="23" t="s">
        <v>93</v>
      </c>
      <c r="B85" s="14" t="s">
        <v>161</v>
      </c>
      <c r="C85" s="14" t="s">
        <v>170</v>
      </c>
      <c r="D85" s="14" t="s">
        <v>174</v>
      </c>
      <c r="E85" s="17">
        <v>44682</v>
      </c>
      <c r="F85" s="17">
        <v>4</v>
      </c>
      <c r="G85" s="15">
        <v>42596</v>
      </c>
      <c r="H85" s="14" t="s">
        <v>181</v>
      </c>
      <c r="I85" s="14" t="s">
        <v>220</v>
      </c>
      <c r="J85" s="5"/>
    </row>
    <row r="86" spans="1:10" x14ac:dyDescent="0.35">
      <c r="A86" s="23" t="s">
        <v>94</v>
      </c>
      <c r="B86" s="14" t="s">
        <v>164</v>
      </c>
      <c r="C86" s="14" t="s">
        <v>166</v>
      </c>
      <c r="D86" s="14" t="s">
        <v>174</v>
      </c>
      <c r="E86" s="17">
        <v>35163</v>
      </c>
      <c r="F86" s="17">
        <v>5</v>
      </c>
      <c r="G86" s="15">
        <v>42603</v>
      </c>
      <c r="H86" s="14" t="s">
        <v>180</v>
      </c>
      <c r="I86" s="14" t="s">
        <v>249</v>
      </c>
      <c r="J86" s="5"/>
    </row>
    <row r="87" spans="1:10" x14ac:dyDescent="0.35">
      <c r="A87" s="23" t="s">
        <v>95</v>
      </c>
      <c r="B87" s="14" t="s">
        <v>164</v>
      </c>
      <c r="C87" s="14" t="s">
        <v>169</v>
      </c>
      <c r="D87" s="14" t="s">
        <v>174</v>
      </c>
      <c r="E87" s="17">
        <v>33483</v>
      </c>
      <c r="F87" s="17">
        <v>4</v>
      </c>
      <c r="G87" s="15">
        <v>42610</v>
      </c>
      <c r="H87" s="14" t="s">
        <v>180</v>
      </c>
      <c r="I87" s="14" t="s">
        <v>250</v>
      </c>
      <c r="J87" s="5"/>
    </row>
    <row r="88" spans="1:10" x14ac:dyDescent="0.35">
      <c r="A88" s="23" t="s">
        <v>100</v>
      </c>
      <c r="B88" s="14" t="s">
        <v>160</v>
      </c>
      <c r="C88" s="14" t="s">
        <v>167</v>
      </c>
      <c r="D88" s="14" t="s">
        <v>176</v>
      </c>
      <c r="E88" s="17">
        <v>69420</v>
      </c>
      <c r="F88" s="17">
        <v>1</v>
      </c>
      <c r="G88" s="15">
        <v>42645</v>
      </c>
      <c r="H88" s="14" t="s">
        <v>181</v>
      </c>
      <c r="I88" s="14" t="s">
        <v>225</v>
      </c>
      <c r="J88" s="5"/>
    </row>
    <row r="89" spans="1:10" x14ac:dyDescent="0.35">
      <c r="A89" s="23" t="s">
        <v>97</v>
      </c>
      <c r="B89" s="14" t="s">
        <v>164</v>
      </c>
      <c r="C89" s="14" t="s">
        <v>169</v>
      </c>
      <c r="D89" s="14" t="s">
        <v>174</v>
      </c>
      <c r="E89" s="17">
        <v>63434</v>
      </c>
      <c r="F89" s="17">
        <v>3</v>
      </c>
      <c r="G89" s="15">
        <v>42624</v>
      </c>
      <c r="H89" s="14" t="s">
        <v>181</v>
      </c>
      <c r="I89" s="14" t="s">
        <v>251</v>
      </c>
      <c r="J89" s="5"/>
    </row>
    <row r="90" spans="1:10" x14ac:dyDescent="0.35">
      <c r="A90" s="23" t="s">
        <v>98</v>
      </c>
      <c r="B90" s="14" t="s">
        <v>162</v>
      </c>
      <c r="C90" s="14" t="s">
        <v>170</v>
      </c>
      <c r="D90" s="14" t="s">
        <v>176</v>
      </c>
      <c r="E90" s="17">
        <v>38830</v>
      </c>
      <c r="F90" s="17">
        <v>3</v>
      </c>
      <c r="G90" s="15">
        <v>42631</v>
      </c>
      <c r="H90" s="14" t="s">
        <v>181</v>
      </c>
      <c r="I90" s="14" t="s">
        <v>203</v>
      </c>
      <c r="J90" s="5"/>
    </row>
    <row r="91" spans="1:10" x14ac:dyDescent="0.35">
      <c r="A91" s="23" t="s">
        <v>99</v>
      </c>
      <c r="B91" s="14" t="s">
        <v>178</v>
      </c>
      <c r="C91" s="14" t="s">
        <v>170</v>
      </c>
      <c r="D91" s="14" t="s">
        <v>175</v>
      </c>
      <c r="E91" s="17">
        <v>50741</v>
      </c>
      <c r="F91" s="17">
        <v>3</v>
      </c>
      <c r="G91" s="15">
        <v>42638</v>
      </c>
      <c r="H91" s="14" t="s">
        <v>179</v>
      </c>
      <c r="I91" s="14" t="s">
        <v>240</v>
      </c>
      <c r="J91" s="5"/>
    </row>
    <row r="92" spans="1:10" x14ac:dyDescent="0.35">
      <c r="A92" s="23" t="s">
        <v>79</v>
      </c>
      <c r="B92" s="14" t="s">
        <v>159</v>
      </c>
      <c r="C92" s="14" t="s">
        <v>168</v>
      </c>
      <c r="D92" s="14" t="s">
        <v>176</v>
      </c>
      <c r="E92" s="17">
        <v>69952</v>
      </c>
      <c r="F92" s="17">
        <v>5</v>
      </c>
      <c r="G92" s="15">
        <v>42498</v>
      </c>
      <c r="H92" s="14" t="s">
        <v>181</v>
      </c>
      <c r="I92" s="14" t="s">
        <v>178</v>
      </c>
      <c r="J92" s="5"/>
    </row>
    <row r="93" spans="1:10" x14ac:dyDescent="0.35">
      <c r="A93" s="23" t="s">
        <v>101</v>
      </c>
      <c r="B93" s="14" t="s">
        <v>162</v>
      </c>
      <c r="C93" s="14" t="s">
        <v>169</v>
      </c>
      <c r="D93" s="14" t="s">
        <v>174</v>
      </c>
      <c r="E93" s="17">
        <v>80588</v>
      </c>
      <c r="F93" s="17">
        <v>5</v>
      </c>
      <c r="G93" s="15">
        <v>42652</v>
      </c>
      <c r="H93" s="14" t="s">
        <v>181</v>
      </c>
      <c r="I93" s="14" t="s">
        <v>216</v>
      </c>
      <c r="J93" s="5"/>
    </row>
    <row r="94" spans="1:10" x14ac:dyDescent="0.35">
      <c r="A94" s="23" t="s">
        <v>102</v>
      </c>
      <c r="B94" s="14" t="s">
        <v>160</v>
      </c>
      <c r="C94" s="14" t="s">
        <v>170</v>
      </c>
      <c r="D94" s="14" t="s">
        <v>173</v>
      </c>
      <c r="E94" s="17">
        <v>76238</v>
      </c>
      <c r="F94" s="17">
        <v>4</v>
      </c>
      <c r="G94" s="15">
        <v>42659</v>
      </c>
      <c r="H94" s="14" t="s">
        <v>181</v>
      </c>
      <c r="I94" s="14" t="s">
        <v>252</v>
      </c>
      <c r="J94" s="5"/>
    </row>
    <row r="95" spans="1:10" x14ac:dyDescent="0.35">
      <c r="A95" s="23" t="s">
        <v>103</v>
      </c>
      <c r="B95" s="14" t="s">
        <v>165</v>
      </c>
      <c r="C95" s="14" t="s">
        <v>169</v>
      </c>
      <c r="D95" s="14" t="s">
        <v>174</v>
      </c>
      <c r="E95" s="17">
        <v>33264</v>
      </c>
      <c r="F95" s="17">
        <v>2.879032258064516</v>
      </c>
      <c r="G95" s="15">
        <v>42666</v>
      </c>
      <c r="H95" s="14" t="s">
        <v>180</v>
      </c>
      <c r="I95" s="14" t="s">
        <v>253</v>
      </c>
      <c r="J95" s="5"/>
    </row>
    <row r="96" spans="1:10" x14ac:dyDescent="0.35">
      <c r="A96" s="23" t="s">
        <v>104</v>
      </c>
      <c r="B96" s="14" t="s">
        <v>160</v>
      </c>
      <c r="C96" s="14" t="s">
        <v>166</v>
      </c>
      <c r="D96" s="14" t="s">
        <v>176</v>
      </c>
      <c r="E96" s="17">
        <v>96101</v>
      </c>
      <c r="F96" s="17">
        <v>2.879032258064516</v>
      </c>
      <c r="G96" s="15">
        <v>42673</v>
      </c>
      <c r="H96" s="14" t="s">
        <v>181</v>
      </c>
      <c r="I96" s="14" t="s">
        <v>254</v>
      </c>
      <c r="J96" s="5"/>
    </row>
    <row r="97" spans="1:10" x14ac:dyDescent="0.35">
      <c r="A97" s="23" t="s">
        <v>105</v>
      </c>
      <c r="B97" s="14" t="s">
        <v>162</v>
      </c>
      <c r="C97" s="14" t="s">
        <v>166</v>
      </c>
      <c r="D97" s="14" t="s">
        <v>173</v>
      </c>
      <c r="E97" s="17">
        <v>72939</v>
      </c>
      <c r="F97" s="17">
        <v>3</v>
      </c>
      <c r="G97" s="15">
        <v>42680</v>
      </c>
      <c r="H97" s="14" t="s">
        <v>181</v>
      </c>
      <c r="I97" s="14" t="s">
        <v>255</v>
      </c>
      <c r="J97" s="5"/>
    </row>
    <row r="98" spans="1:10" x14ac:dyDescent="0.35">
      <c r="A98" s="23" t="s">
        <v>35</v>
      </c>
      <c r="B98" s="14" t="s">
        <v>159</v>
      </c>
      <c r="C98" s="14" t="s">
        <v>168</v>
      </c>
      <c r="D98" s="14" t="s">
        <v>172</v>
      </c>
      <c r="E98" s="17">
        <v>76518</v>
      </c>
      <c r="F98" s="17">
        <v>2</v>
      </c>
      <c r="G98" s="15">
        <v>42190</v>
      </c>
      <c r="H98" s="14" t="s">
        <v>181</v>
      </c>
      <c r="I98" s="14" t="s">
        <v>206</v>
      </c>
      <c r="J98" s="5"/>
    </row>
    <row r="99" spans="1:10" x14ac:dyDescent="0.35">
      <c r="A99" s="23" t="s">
        <v>107</v>
      </c>
      <c r="B99" s="14" t="s">
        <v>165</v>
      </c>
      <c r="C99" s="14" t="s">
        <v>169</v>
      </c>
      <c r="D99" s="14" t="s">
        <v>176</v>
      </c>
      <c r="E99" s="17">
        <v>70470</v>
      </c>
      <c r="F99" s="17">
        <v>2.879032258064516</v>
      </c>
      <c r="G99" s="15">
        <v>42694</v>
      </c>
      <c r="H99" s="14" t="s">
        <v>180</v>
      </c>
      <c r="I99" s="14" t="s">
        <v>257</v>
      </c>
      <c r="J99" s="5"/>
    </row>
    <row r="100" spans="1:10" x14ac:dyDescent="0.35">
      <c r="A100" s="23" t="s">
        <v>108</v>
      </c>
      <c r="B100" s="14" t="s">
        <v>159</v>
      </c>
      <c r="C100" s="14" t="s">
        <v>170</v>
      </c>
      <c r="D100" s="14" t="s">
        <v>173</v>
      </c>
      <c r="E100" s="17">
        <v>70096</v>
      </c>
      <c r="F100" s="17">
        <v>4</v>
      </c>
      <c r="G100" s="15">
        <v>42701</v>
      </c>
      <c r="H100" s="14" t="s">
        <v>181</v>
      </c>
      <c r="I100" s="14" t="s">
        <v>258</v>
      </c>
      <c r="J100" s="5"/>
    </row>
    <row r="101" spans="1:10" x14ac:dyDescent="0.35">
      <c r="A101" s="23" t="s">
        <v>109</v>
      </c>
      <c r="B101" s="14" t="s">
        <v>165</v>
      </c>
      <c r="C101" s="14" t="s">
        <v>170</v>
      </c>
      <c r="D101" s="14" t="s">
        <v>174</v>
      </c>
      <c r="E101" s="17">
        <v>66280.929577464791</v>
      </c>
      <c r="F101" s="17">
        <v>2</v>
      </c>
      <c r="G101" s="15">
        <v>42708</v>
      </c>
      <c r="H101" s="14" t="s">
        <v>180</v>
      </c>
      <c r="I101" s="14" t="s">
        <v>259</v>
      </c>
      <c r="J101" s="5"/>
    </row>
    <row r="102" spans="1:10" x14ac:dyDescent="0.35">
      <c r="A102" s="23" t="s">
        <v>110</v>
      </c>
      <c r="B102" s="14" t="s">
        <v>165</v>
      </c>
      <c r="C102" s="14" t="s">
        <v>169</v>
      </c>
      <c r="D102" s="14" t="s">
        <v>172</v>
      </c>
      <c r="E102" s="17">
        <v>66503</v>
      </c>
      <c r="F102" s="17">
        <v>2.879032258064516</v>
      </c>
      <c r="G102" s="15">
        <v>42715</v>
      </c>
      <c r="H102" s="14" t="s">
        <v>180</v>
      </c>
      <c r="I102" s="14" t="s">
        <v>200</v>
      </c>
      <c r="J102" s="5"/>
    </row>
    <row r="103" spans="1:10" x14ac:dyDescent="0.35">
      <c r="A103" s="23" t="s">
        <v>58</v>
      </c>
      <c r="B103" s="14" t="s">
        <v>159</v>
      </c>
      <c r="C103" s="14" t="s">
        <v>167</v>
      </c>
      <c r="D103" s="14" t="s">
        <v>172</v>
      </c>
      <c r="E103" s="17">
        <v>78720</v>
      </c>
      <c r="F103" s="17">
        <v>5</v>
      </c>
      <c r="G103" s="15">
        <v>42351</v>
      </c>
      <c r="H103" s="14" t="s">
        <v>181</v>
      </c>
      <c r="I103" s="14" t="s">
        <v>219</v>
      </c>
      <c r="J103" s="5"/>
    </row>
    <row r="104" spans="1:10" x14ac:dyDescent="0.35">
      <c r="A104" s="23" t="s">
        <v>112</v>
      </c>
      <c r="B104" s="14" t="s">
        <v>160</v>
      </c>
      <c r="C104" s="14" t="s">
        <v>170</v>
      </c>
      <c r="D104" s="14" t="s">
        <v>174</v>
      </c>
      <c r="E104" s="17">
        <v>79145</v>
      </c>
      <c r="F104" s="17">
        <v>5</v>
      </c>
      <c r="G104" s="15">
        <v>42729</v>
      </c>
      <c r="H104" s="14" t="s">
        <v>181</v>
      </c>
      <c r="I104" s="14" t="s">
        <v>223</v>
      </c>
      <c r="J104" s="5"/>
    </row>
    <row r="105" spans="1:10" x14ac:dyDescent="0.35">
      <c r="A105" s="23" t="s">
        <v>113</v>
      </c>
      <c r="B105" s="14" t="s">
        <v>162</v>
      </c>
      <c r="C105" s="14" t="s">
        <v>170</v>
      </c>
      <c r="D105" s="14" t="s">
        <v>176</v>
      </c>
      <c r="E105" s="17">
        <v>61556</v>
      </c>
      <c r="F105" s="17">
        <v>1</v>
      </c>
      <c r="G105" s="15">
        <v>42736</v>
      </c>
      <c r="H105" s="14" t="s">
        <v>181</v>
      </c>
      <c r="I105" s="14" t="s">
        <v>259</v>
      </c>
      <c r="J105" s="5"/>
    </row>
    <row r="106" spans="1:10" x14ac:dyDescent="0.35">
      <c r="A106" s="23" t="s">
        <v>43</v>
      </c>
      <c r="B106" s="14" t="s">
        <v>161</v>
      </c>
      <c r="C106" s="14" t="s">
        <v>168</v>
      </c>
      <c r="D106" s="14" t="s">
        <v>176</v>
      </c>
      <c r="E106" s="17">
        <v>79549</v>
      </c>
      <c r="F106" s="17">
        <v>3</v>
      </c>
      <c r="G106" s="15">
        <v>42246</v>
      </c>
      <c r="H106" s="14" t="s">
        <v>180</v>
      </c>
      <c r="I106" s="14" t="s">
        <v>214</v>
      </c>
      <c r="J106" s="5"/>
    </row>
    <row r="107" spans="1:10" x14ac:dyDescent="0.35">
      <c r="A107" s="23" t="s">
        <v>115</v>
      </c>
      <c r="B107" s="14" t="s">
        <v>159</v>
      </c>
      <c r="C107" s="14" t="s">
        <v>169</v>
      </c>
      <c r="D107" s="14" t="s">
        <v>174</v>
      </c>
      <c r="E107" s="17">
        <v>48325</v>
      </c>
      <c r="F107" s="17">
        <v>2.879032258064516</v>
      </c>
      <c r="G107" s="15">
        <v>42750</v>
      </c>
      <c r="H107" s="14" t="s">
        <v>181</v>
      </c>
      <c r="I107" s="14" t="s">
        <v>261</v>
      </c>
      <c r="J107" s="5"/>
    </row>
    <row r="108" spans="1:10" x14ac:dyDescent="0.35">
      <c r="A108" s="23" t="s">
        <v>116</v>
      </c>
      <c r="B108" s="14" t="s">
        <v>163</v>
      </c>
      <c r="C108" s="14" t="s">
        <v>170</v>
      </c>
      <c r="D108" s="14" t="s">
        <v>176</v>
      </c>
      <c r="E108" s="17">
        <v>86412</v>
      </c>
      <c r="F108" s="17">
        <v>2</v>
      </c>
      <c r="G108" s="15">
        <v>42757</v>
      </c>
      <c r="H108" s="14" t="s">
        <v>180</v>
      </c>
      <c r="I108" s="14" t="s">
        <v>202</v>
      </c>
      <c r="J108" s="5"/>
    </row>
    <row r="109" spans="1:10" x14ac:dyDescent="0.35">
      <c r="A109" s="23" t="s">
        <v>146</v>
      </c>
      <c r="B109" s="14" t="s">
        <v>164</v>
      </c>
      <c r="C109" s="14" t="s">
        <v>167</v>
      </c>
      <c r="D109" s="14" t="s">
        <v>172</v>
      </c>
      <c r="E109" s="17">
        <v>84968</v>
      </c>
      <c r="F109" s="17">
        <v>2.879032258064516</v>
      </c>
      <c r="G109" s="15">
        <v>42967</v>
      </c>
      <c r="H109" s="14" t="s">
        <v>181</v>
      </c>
      <c r="I109" s="14" t="s">
        <v>276</v>
      </c>
      <c r="J109" s="5"/>
    </row>
    <row r="110" spans="1:10" x14ac:dyDescent="0.35">
      <c r="A110" s="23" t="s">
        <v>118</v>
      </c>
      <c r="B110" s="14" t="s">
        <v>162</v>
      </c>
      <c r="C110" s="14" t="s">
        <v>170</v>
      </c>
      <c r="D110" s="14" t="s">
        <v>174</v>
      </c>
      <c r="E110" s="17">
        <v>88850</v>
      </c>
      <c r="F110" s="17">
        <v>1</v>
      </c>
      <c r="G110" s="15">
        <v>42771</v>
      </c>
      <c r="H110" s="14" t="s">
        <v>181</v>
      </c>
      <c r="I110" s="14" t="s">
        <v>263</v>
      </c>
      <c r="J110" s="5"/>
    </row>
    <row r="111" spans="1:10" x14ac:dyDescent="0.35">
      <c r="A111" s="23" t="s">
        <v>114</v>
      </c>
      <c r="B111" s="14" t="s">
        <v>178</v>
      </c>
      <c r="C111" s="14" t="s">
        <v>167</v>
      </c>
      <c r="D111" s="14" t="s">
        <v>175</v>
      </c>
      <c r="E111" s="17">
        <v>87963</v>
      </c>
      <c r="F111" s="17">
        <v>3</v>
      </c>
      <c r="G111" s="15">
        <v>42743</v>
      </c>
      <c r="H111" s="14" t="s">
        <v>179</v>
      </c>
      <c r="I111" s="14" t="s">
        <v>178</v>
      </c>
      <c r="J111" s="5"/>
    </row>
    <row r="112" spans="1:10" x14ac:dyDescent="0.35">
      <c r="A112" s="23" t="s">
        <v>120</v>
      </c>
      <c r="B112" s="14" t="s">
        <v>164</v>
      </c>
      <c r="C112" s="14" t="s">
        <v>169</v>
      </c>
      <c r="D112" s="14" t="s">
        <v>173</v>
      </c>
      <c r="E112" s="17">
        <v>34306</v>
      </c>
      <c r="F112" s="17">
        <v>5</v>
      </c>
      <c r="G112" s="15">
        <v>42785</v>
      </c>
      <c r="H112" s="14" t="s">
        <v>181</v>
      </c>
      <c r="I112" s="14" t="s">
        <v>239</v>
      </c>
      <c r="J112" s="5"/>
    </row>
    <row r="113" spans="1:10" x14ac:dyDescent="0.35">
      <c r="A113" s="23" t="s">
        <v>121</v>
      </c>
      <c r="B113" s="14" t="s">
        <v>159</v>
      </c>
      <c r="C113" s="14" t="s">
        <v>166</v>
      </c>
      <c r="D113" s="14" t="s">
        <v>174</v>
      </c>
      <c r="E113" s="17">
        <v>78330</v>
      </c>
      <c r="F113" s="17">
        <v>2.879032258064516</v>
      </c>
      <c r="G113" s="15">
        <v>42792</v>
      </c>
      <c r="H113" s="14" t="s">
        <v>181</v>
      </c>
      <c r="I113" s="14" t="s">
        <v>258</v>
      </c>
      <c r="J113" s="5"/>
    </row>
    <row r="114" spans="1:10" x14ac:dyDescent="0.35">
      <c r="A114" s="23" t="s">
        <v>122</v>
      </c>
      <c r="B114" s="14" t="s">
        <v>160</v>
      </c>
      <c r="C114" s="14" t="s">
        <v>169</v>
      </c>
      <c r="D114" s="14" t="s">
        <v>173</v>
      </c>
      <c r="E114" s="17">
        <v>47653</v>
      </c>
      <c r="F114" s="17">
        <v>1</v>
      </c>
      <c r="G114" s="15">
        <v>42799</v>
      </c>
      <c r="H114" s="14" t="s">
        <v>181</v>
      </c>
      <c r="I114" s="14" t="s">
        <v>265</v>
      </c>
      <c r="J114" s="5"/>
    </row>
    <row r="115" spans="1:10" x14ac:dyDescent="0.35">
      <c r="A115" s="23" t="s">
        <v>123</v>
      </c>
      <c r="B115" s="14" t="s">
        <v>159</v>
      </c>
      <c r="C115" s="14" t="s">
        <v>170</v>
      </c>
      <c r="D115" s="14" t="s">
        <v>175</v>
      </c>
      <c r="E115" s="17">
        <v>44627</v>
      </c>
      <c r="F115" s="17">
        <v>4</v>
      </c>
      <c r="G115" s="15">
        <v>42806</v>
      </c>
      <c r="H115" s="14" t="s">
        <v>181</v>
      </c>
      <c r="I115" s="14" t="s">
        <v>235</v>
      </c>
      <c r="J115" s="5"/>
    </row>
    <row r="116" spans="1:10" x14ac:dyDescent="0.35">
      <c r="A116" s="23" t="s">
        <v>106</v>
      </c>
      <c r="B116" s="14" t="s">
        <v>163</v>
      </c>
      <c r="C116" s="14" t="s">
        <v>167</v>
      </c>
      <c r="D116" s="14" t="s">
        <v>172</v>
      </c>
      <c r="E116" s="17">
        <v>89333</v>
      </c>
      <c r="F116" s="17">
        <v>1</v>
      </c>
      <c r="G116" s="15">
        <v>42687</v>
      </c>
      <c r="H116" s="14" t="s">
        <v>180</v>
      </c>
      <c r="I116" s="14" t="s">
        <v>256</v>
      </c>
      <c r="J116" s="5"/>
    </row>
    <row r="117" spans="1:10" x14ac:dyDescent="0.35">
      <c r="A117" s="23" t="s">
        <v>125</v>
      </c>
      <c r="B117" s="14" t="s">
        <v>165</v>
      </c>
      <c r="C117" s="14" t="s">
        <v>170</v>
      </c>
      <c r="D117" s="14" t="s">
        <v>176</v>
      </c>
      <c r="E117" s="17">
        <v>38837</v>
      </c>
      <c r="F117" s="17">
        <v>5</v>
      </c>
      <c r="G117" s="15">
        <v>42820</v>
      </c>
      <c r="H117" s="14" t="s">
        <v>180</v>
      </c>
      <c r="I117" s="14" t="s">
        <v>239</v>
      </c>
      <c r="J117" s="5"/>
    </row>
    <row r="118" spans="1:10" x14ac:dyDescent="0.35">
      <c r="A118" s="23" t="s">
        <v>126</v>
      </c>
      <c r="B118" s="14" t="s">
        <v>165</v>
      </c>
      <c r="C118" s="14" t="s">
        <v>170</v>
      </c>
      <c r="D118" s="14" t="s">
        <v>174</v>
      </c>
      <c r="E118" s="17">
        <v>73483</v>
      </c>
      <c r="F118" s="17">
        <v>1</v>
      </c>
      <c r="G118" s="15">
        <v>42827</v>
      </c>
      <c r="H118" s="14" t="s">
        <v>180</v>
      </c>
      <c r="I118" s="14" t="s">
        <v>266</v>
      </c>
      <c r="J118" s="5"/>
    </row>
    <row r="119" spans="1:10" x14ac:dyDescent="0.35">
      <c r="A119" s="23" t="s">
        <v>82</v>
      </c>
      <c r="B119" s="14" t="s">
        <v>161</v>
      </c>
      <c r="C119" s="14" t="s">
        <v>168</v>
      </c>
      <c r="D119" s="14" t="s">
        <v>174</v>
      </c>
      <c r="E119" s="17">
        <v>91101</v>
      </c>
      <c r="F119" s="17">
        <v>4</v>
      </c>
      <c r="G119" s="15">
        <v>42519</v>
      </c>
      <c r="H119" s="14" t="s">
        <v>181</v>
      </c>
      <c r="I119" s="14" t="s">
        <v>234</v>
      </c>
      <c r="J119" s="5"/>
    </row>
    <row r="120" spans="1:10" x14ac:dyDescent="0.35">
      <c r="A120" s="23" t="s">
        <v>152</v>
      </c>
      <c r="B120" s="14" t="s">
        <v>164</v>
      </c>
      <c r="C120" s="14" t="s">
        <v>168</v>
      </c>
      <c r="D120" s="14" t="s">
        <v>175</v>
      </c>
      <c r="E120" s="17">
        <v>91620</v>
      </c>
      <c r="F120" s="17">
        <v>2.879032258064516</v>
      </c>
      <c r="G120" s="15">
        <v>43009</v>
      </c>
      <c r="H120" s="14" t="s">
        <v>181</v>
      </c>
      <c r="I120" s="14" t="s">
        <v>277</v>
      </c>
      <c r="J120" s="5"/>
    </row>
    <row r="121" spans="1:10" x14ac:dyDescent="0.35">
      <c r="A121" s="23" t="s">
        <v>129</v>
      </c>
      <c r="B121" s="14" t="s">
        <v>178</v>
      </c>
      <c r="C121" s="14" t="s">
        <v>169</v>
      </c>
      <c r="D121" s="14" t="s">
        <v>173</v>
      </c>
      <c r="E121" s="17">
        <v>66280.929577464791</v>
      </c>
      <c r="F121" s="17">
        <v>5</v>
      </c>
      <c r="G121" s="15">
        <v>42533</v>
      </c>
      <c r="H121" s="14" t="s">
        <v>179</v>
      </c>
      <c r="I121" s="14" t="s">
        <v>268</v>
      </c>
      <c r="J121" s="5"/>
    </row>
    <row r="122" spans="1:10" x14ac:dyDescent="0.35">
      <c r="A122" s="23" t="s">
        <v>18</v>
      </c>
      <c r="B122" s="14" t="s">
        <v>164</v>
      </c>
      <c r="C122" s="14" t="s">
        <v>167</v>
      </c>
      <c r="D122" s="14" t="s">
        <v>175</v>
      </c>
      <c r="E122" s="17">
        <v>91846</v>
      </c>
      <c r="F122" s="17">
        <v>2.879032258064516</v>
      </c>
      <c r="G122" s="15">
        <v>42071</v>
      </c>
      <c r="H122" s="14" t="s">
        <v>180</v>
      </c>
      <c r="I122" s="14" t="s">
        <v>190</v>
      </c>
      <c r="J122" s="5"/>
    </row>
    <row r="123" spans="1:10" x14ac:dyDescent="0.35">
      <c r="A123" s="23" t="s">
        <v>40</v>
      </c>
      <c r="B123" s="14" t="s">
        <v>159</v>
      </c>
      <c r="C123" s="14" t="s">
        <v>167</v>
      </c>
      <c r="D123" s="14" t="s">
        <v>172</v>
      </c>
      <c r="E123" s="17">
        <v>92299</v>
      </c>
      <c r="F123" s="17">
        <v>3</v>
      </c>
      <c r="G123" s="15">
        <v>42225</v>
      </c>
      <c r="H123" s="14" t="s">
        <v>181</v>
      </c>
      <c r="I123" s="14" t="s">
        <v>211</v>
      </c>
      <c r="J123" s="5"/>
    </row>
    <row r="124" spans="1:10" x14ac:dyDescent="0.35">
      <c r="A124" s="23" t="s">
        <v>132</v>
      </c>
      <c r="B124" s="14" t="s">
        <v>162</v>
      </c>
      <c r="C124" s="14" t="s">
        <v>170</v>
      </c>
      <c r="D124" s="14" t="s">
        <v>172</v>
      </c>
      <c r="E124" s="17">
        <v>30357</v>
      </c>
      <c r="F124" s="17">
        <v>5</v>
      </c>
      <c r="G124" s="15">
        <v>42869</v>
      </c>
      <c r="H124" s="14" t="s">
        <v>181</v>
      </c>
      <c r="I124" s="14" t="s">
        <v>248</v>
      </c>
      <c r="J124" s="5"/>
    </row>
    <row r="125" spans="1:10" x14ac:dyDescent="0.35">
      <c r="A125" s="23" t="s">
        <v>133</v>
      </c>
      <c r="B125" s="14" t="s">
        <v>161</v>
      </c>
      <c r="C125" s="14" t="s">
        <v>169</v>
      </c>
      <c r="D125" s="14" t="s">
        <v>174</v>
      </c>
      <c r="E125" s="17">
        <v>60034</v>
      </c>
      <c r="F125" s="17">
        <v>1</v>
      </c>
      <c r="G125" s="15">
        <v>42876</v>
      </c>
      <c r="H125" s="14" t="s">
        <v>181</v>
      </c>
      <c r="I125" s="14" t="s">
        <v>271</v>
      </c>
      <c r="J125" s="5"/>
    </row>
    <row r="126" spans="1:10" x14ac:dyDescent="0.35">
      <c r="A126" s="23" t="s">
        <v>134</v>
      </c>
      <c r="B126" s="14" t="s">
        <v>161</v>
      </c>
      <c r="C126" s="14" t="s">
        <v>166</v>
      </c>
      <c r="D126" s="14" t="s">
        <v>174</v>
      </c>
      <c r="E126" s="17">
        <v>90019</v>
      </c>
      <c r="F126" s="17">
        <v>5</v>
      </c>
      <c r="G126" s="15">
        <v>42883</v>
      </c>
      <c r="H126" s="14" t="s">
        <v>180</v>
      </c>
      <c r="I126" s="14" t="s">
        <v>272</v>
      </c>
      <c r="J126" s="5"/>
    </row>
    <row r="127" spans="1:10" x14ac:dyDescent="0.35">
      <c r="A127" s="23" t="s">
        <v>135</v>
      </c>
      <c r="B127" s="14" t="s">
        <v>165</v>
      </c>
      <c r="C127" s="14" t="s">
        <v>170</v>
      </c>
      <c r="D127" s="14" t="s">
        <v>172</v>
      </c>
      <c r="E127" s="17">
        <v>71494</v>
      </c>
      <c r="F127" s="17">
        <v>3</v>
      </c>
      <c r="G127" s="15">
        <v>42890</v>
      </c>
      <c r="H127" s="14" t="s">
        <v>180</v>
      </c>
      <c r="I127" s="14" t="s">
        <v>273</v>
      </c>
      <c r="J127" s="5"/>
    </row>
    <row r="128" spans="1:10" x14ac:dyDescent="0.35">
      <c r="A128" s="23" t="s">
        <v>136</v>
      </c>
      <c r="B128" s="14" t="s">
        <v>161</v>
      </c>
      <c r="C128" s="14" t="s">
        <v>166</v>
      </c>
      <c r="D128" s="14" t="s">
        <v>173</v>
      </c>
      <c r="E128" s="17">
        <v>91953</v>
      </c>
      <c r="F128" s="17">
        <v>2</v>
      </c>
      <c r="G128" s="15">
        <v>42897</v>
      </c>
      <c r="H128" s="14" t="s">
        <v>180</v>
      </c>
      <c r="I128" s="14" t="s">
        <v>209</v>
      </c>
      <c r="J128" s="5"/>
    </row>
    <row r="129" spans="1:10" x14ac:dyDescent="0.35">
      <c r="A129" s="23" t="s">
        <v>124</v>
      </c>
      <c r="B129" s="14" t="s">
        <v>165</v>
      </c>
      <c r="C129" s="14" t="s">
        <v>167</v>
      </c>
      <c r="D129" s="14" t="s">
        <v>172</v>
      </c>
      <c r="E129" s="17">
        <v>92343</v>
      </c>
      <c r="F129" s="17">
        <v>4</v>
      </c>
      <c r="G129" s="15">
        <v>42813</v>
      </c>
      <c r="H129" s="14" t="s">
        <v>180</v>
      </c>
      <c r="I129" s="14" t="s">
        <v>203</v>
      </c>
      <c r="J129" s="5"/>
    </row>
    <row r="130" spans="1:10" x14ac:dyDescent="0.35">
      <c r="A130" s="23" t="s">
        <v>138</v>
      </c>
      <c r="B130" s="14" t="s">
        <v>165</v>
      </c>
      <c r="C130" s="14" t="s">
        <v>170</v>
      </c>
      <c r="D130" s="14" t="s">
        <v>175</v>
      </c>
      <c r="E130" s="17">
        <v>62994</v>
      </c>
      <c r="F130" s="17">
        <v>2.879032258064516</v>
      </c>
      <c r="G130" s="15">
        <v>42911</v>
      </c>
      <c r="H130" s="14" t="s">
        <v>180</v>
      </c>
      <c r="I130" s="14" t="s">
        <v>221</v>
      </c>
      <c r="J130" s="5"/>
    </row>
    <row r="131" spans="1:10" x14ac:dyDescent="0.35">
      <c r="A131" s="23" t="s">
        <v>12</v>
      </c>
      <c r="B131" s="14" t="s">
        <v>161</v>
      </c>
      <c r="C131" s="14" t="s">
        <v>168</v>
      </c>
      <c r="D131" s="14" t="s">
        <v>173</v>
      </c>
      <c r="E131" s="17">
        <v>94406</v>
      </c>
      <c r="F131" s="17">
        <v>1</v>
      </c>
      <c r="G131" s="15">
        <v>42029</v>
      </c>
      <c r="H131" s="14" t="s">
        <v>180</v>
      </c>
      <c r="I131" s="14" t="s">
        <v>185</v>
      </c>
      <c r="J131" s="5"/>
    </row>
    <row r="132" spans="1:10" x14ac:dyDescent="0.35">
      <c r="A132" s="23" t="s">
        <v>140</v>
      </c>
      <c r="B132" s="14" t="s">
        <v>163</v>
      </c>
      <c r="C132" s="14" t="s">
        <v>170</v>
      </c>
      <c r="D132" s="14" t="s">
        <v>172</v>
      </c>
      <c r="E132" s="17">
        <v>34402</v>
      </c>
      <c r="F132" s="17">
        <v>3</v>
      </c>
      <c r="G132" s="15">
        <v>42925</v>
      </c>
      <c r="H132" s="14" t="s">
        <v>180</v>
      </c>
      <c r="I132" s="14" t="s">
        <v>218</v>
      </c>
      <c r="J132" s="5"/>
    </row>
    <row r="133" spans="1:10" x14ac:dyDescent="0.35">
      <c r="A133" s="23" t="s">
        <v>127</v>
      </c>
      <c r="B133" s="14" t="s">
        <v>164</v>
      </c>
      <c r="C133" s="14" t="s">
        <v>168</v>
      </c>
      <c r="D133" s="14" t="s">
        <v>174</v>
      </c>
      <c r="E133" s="17">
        <v>95032</v>
      </c>
      <c r="F133" s="17">
        <v>3</v>
      </c>
      <c r="G133" s="15">
        <v>42834</v>
      </c>
      <c r="H133" s="14" t="s">
        <v>181</v>
      </c>
      <c r="I133" s="14" t="s">
        <v>267</v>
      </c>
      <c r="J133" s="5"/>
    </row>
    <row r="134" spans="1:10" x14ac:dyDescent="0.35">
      <c r="A134" s="23" t="s">
        <v>41</v>
      </c>
      <c r="B134" s="14" t="s">
        <v>163</v>
      </c>
      <c r="C134" s="14" t="s">
        <v>167</v>
      </c>
      <c r="D134" s="14" t="s">
        <v>174</v>
      </c>
      <c r="E134" s="17">
        <v>95586</v>
      </c>
      <c r="F134" s="17">
        <v>3</v>
      </c>
      <c r="G134" s="15">
        <v>42232</v>
      </c>
      <c r="H134" s="14" t="s">
        <v>180</v>
      </c>
      <c r="I134" s="14" t="s">
        <v>212</v>
      </c>
      <c r="J134" s="5"/>
    </row>
    <row r="135" spans="1:10" x14ac:dyDescent="0.35">
      <c r="A135" s="23" t="s">
        <v>143</v>
      </c>
      <c r="B135" s="14" t="s">
        <v>159</v>
      </c>
      <c r="C135" s="14" t="s">
        <v>170</v>
      </c>
      <c r="D135" s="14" t="s">
        <v>174</v>
      </c>
      <c r="E135" s="17">
        <v>62476</v>
      </c>
      <c r="F135" s="17">
        <v>1</v>
      </c>
      <c r="G135" s="15">
        <v>42946</v>
      </c>
      <c r="H135" s="14" t="s">
        <v>181</v>
      </c>
      <c r="I135" s="14" t="s">
        <v>231</v>
      </c>
      <c r="J135" s="5"/>
    </row>
    <row r="136" spans="1:10" x14ac:dyDescent="0.35">
      <c r="A136" s="23" t="s">
        <v>144</v>
      </c>
      <c r="B136" s="14" t="s">
        <v>178</v>
      </c>
      <c r="C136" s="14" t="s">
        <v>169</v>
      </c>
      <c r="D136" s="14" t="s">
        <v>175</v>
      </c>
      <c r="E136" s="17">
        <v>39280</v>
      </c>
      <c r="F136" s="17">
        <v>3</v>
      </c>
      <c r="G136" s="15">
        <v>42953</v>
      </c>
      <c r="H136" s="14" t="s">
        <v>179</v>
      </c>
      <c r="I136" s="14" t="s">
        <v>214</v>
      </c>
      <c r="J136" s="5"/>
    </row>
    <row r="137" spans="1:10" x14ac:dyDescent="0.35">
      <c r="A137" s="23" t="s">
        <v>145</v>
      </c>
      <c r="B137" s="14" t="s">
        <v>162</v>
      </c>
      <c r="C137" s="14" t="s">
        <v>166</v>
      </c>
      <c r="D137" s="14" t="s">
        <v>174</v>
      </c>
      <c r="E137" s="17">
        <v>60335</v>
      </c>
      <c r="F137" s="17">
        <v>4</v>
      </c>
      <c r="G137" s="15">
        <v>42960</v>
      </c>
      <c r="H137" s="14" t="s">
        <v>181</v>
      </c>
      <c r="I137" s="14" t="s">
        <v>227</v>
      </c>
      <c r="J137" s="5"/>
    </row>
    <row r="138" spans="1:10" x14ac:dyDescent="0.35">
      <c r="A138" s="23" t="s">
        <v>90</v>
      </c>
      <c r="B138" s="14" t="s">
        <v>162</v>
      </c>
      <c r="C138" s="14" t="s">
        <v>168</v>
      </c>
      <c r="D138" s="14" t="s">
        <v>173</v>
      </c>
      <c r="E138" s="17">
        <v>95621</v>
      </c>
      <c r="F138" s="17">
        <v>3</v>
      </c>
      <c r="G138" s="15">
        <v>42575</v>
      </c>
      <c r="H138" s="14" t="s">
        <v>181</v>
      </c>
      <c r="I138" s="14" t="s">
        <v>246</v>
      </c>
      <c r="J138" s="5"/>
    </row>
    <row r="139" spans="1:10" x14ac:dyDescent="0.35">
      <c r="A139" s="23" t="s">
        <v>147</v>
      </c>
      <c r="B139" s="14" t="s">
        <v>164</v>
      </c>
      <c r="C139" s="14" t="s">
        <v>170</v>
      </c>
      <c r="D139" s="14" t="s">
        <v>176</v>
      </c>
      <c r="E139" s="17">
        <v>84750</v>
      </c>
      <c r="F139" s="17">
        <v>4</v>
      </c>
      <c r="G139" s="15">
        <v>42974</v>
      </c>
      <c r="H139" s="14" t="s">
        <v>181</v>
      </c>
      <c r="I139" s="14" t="s">
        <v>195</v>
      </c>
      <c r="J139" s="5"/>
    </row>
    <row r="140" spans="1:10" x14ac:dyDescent="0.35">
      <c r="A140" s="23" t="s">
        <v>148</v>
      </c>
      <c r="B140" s="14" t="s">
        <v>165</v>
      </c>
      <c r="C140" s="14" t="s">
        <v>169</v>
      </c>
      <c r="D140" s="14" t="s">
        <v>174</v>
      </c>
      <c r="E140" s="17">
        <v>73348</v>
      </c>
      <c r="F140" s="17">
        <v>2</v>
      </c>
      <c r="G140" s="15">
        <v>42981</v>
      </c>
      <c r="H140" s="14" t="s">
        <v>180</v>
      </c>
      <c r="I140" s="14" t="s">
        <v>243</v>
      </c>
      <c r="J140" s="5"/>
    </row>
    <row r="141" spans="1:10" x14ac:dyDescent="0.35">
      <c r="A141" s="23" t="s">
        <v>84</v>
      </c>
      <c r="B141" s="14" t="s">
        <v>178</v>
      </c>
      <c r="C141" s="14" t="s">
        <v>168</v>
      </c>
      <c r="D141" s="14" t="s">
        <v>174</v>
      </c>
      <c r="E141" s="17">
        <v>96142</v>
      </c>
      <c r="F141" s="17">
        <v>1</v>
      </c>
      <c r="G141" s="15">
        <v>42533</v>
      </c>
      <c r="H141" s="14" t="s">
        <v>179</v>
      </c>
      <c r="I141" s="14" t="s">
        <v>242</v>
      </c>
      <c r="J141" s="5"/>
    </row>
    <row r="142" spans="1:10" x14ac:dyDescent="0.35">
      <c r="A142" s="23" t="s">
        <v>150</v>
      </c>
      <c r="B142" s="14" t="s">
        <v>162</v>
      </c>
      <c r="C142" s="14" t="s">
        <v>170</v>
      </c>
      <c r="D142" s="14" t="s">
        <v>173</v>
      </c>
      <c r="E142" s="17">
        <v>66882</v>
      </c>
      <c r="F142" s="17">
        <v>5</v>
      </c>
      <c r="G142" s="15">
        <v>42995</v>
      </c>
      <c r="H142" s="14" t="s">
        <v>181</v>
      </c>
      <c r="I142" s="14" t="s">
        <v>207</v>
      </c>
      <c r="J142" s="5"/>
    </row>
    <row r="143" spans="1:10" x14ac:dyDescent="0.35">
      <c r="A143" s="23" t="s">
        <v>151</v>
      </c>
      <c r="B143" s="14" t="s">
        <v>160</v>
      </c>
      <c r="C143" s="14" t="s">
        <v>170</v>
      </c>
      <c r="D143" s="14" t="s">
        <v>174</v>
      </c>
      <c r="E143" s="17">
        <v>86775</v>
      </c>
      <c r="F143" s="17">
        <v>3</v>
      </c>
      <c r="G143" s="15">
        <v>43002</v>
      </c>
      <c r="H143" s="14" t="s">
        <v>181</v>
      </c>
      <c r="I143" s="14" t="s">
        <v>212</v>
      </c>
      <c r="J143" s="5"/>
    </row>
    <row r="144" spans="1:10" x14ac:dyDescent="0.35">
      <c r="A144" s="23" t="s">
        <v>21</v>
      </c>
      <c r="B144" s="14" t="s">
        <v>165</v>
      </c>
      <c r="C144" s="14" t="s">
        <v>168</v>
      </c>
      <c r="D144" s="14" t="s">
        <v>174</v>
      </c>
      <c r="E144" s="17">
        <v>96418</v>
      </c>
      <c r="F144" s="17">
        <v>5</v>
      </c>
      <c r="G144" s="15">
        <v>42092</v>
      </c>
      <c r="H144" s="14" t="s">
        <v>180</v>
      </c>
      <c r="I144" s="14" t="s">
        <v>183</v>
      </c>
      <c r="J144" s="5"/>
    </row>
    <row r="145" spans="1:10" x14ac:dyDescent="0.35">
      <c r="A145" s="23" t="s">
        <v>153</v>
      </c>
      <c r="B145" s="14" t="s">
        <v>159</v>
      </c>
      <c r="C145" s="14" t="s">
        <v>170</v>
      </c>
      <c r="D145" s="14" t="s">
        <v>174</v>
      </c>
      <c r="E145" s="17">
        <v>94148</v>
      </c>
      <c r="F145" s="17">
        <v>2</v>
      </c>
      <c r="G145" s="15">
        <v>43016</v>
      </c>
      <c r="H145" s="14" t="s">
        <v>181</v>
      </c>
      <c r="I145" s="14" t="s">
        <v>278</v>
      </c>
      <c r="J145" s="5"/>
    </row>
    <row r="146" spans="1:10" x14ac:dyDescent="0.35">
      <c r="A146" s="23" t="s">
        <v>30</v>
      </c>
      <c r="B146" s="14" t="s">
        <v>162</v>
      </c>
      <c r="C146" s="14" t="s">
        <v>167</v>
      </c>
      <c r="D146" s="14" t="s">
        <v>174</v>
      </c>
      <c r="E146" s="17">
        <v>98922</v>
      </c>
      <c r="F146" s="17">
        <v>4</v>
      </c>
      <c r="G146" s="15">
        <v>42155</v>
      </c>
      <c r="H146" s="14" t="s">
        <v>181</v>
      </c>
      <c r="I146" s="14" t="s">
        <v>201</v>
      </c>
      <c r="J146" s="5"/>
    </row>
    <row r="147" spans="1:10" x14ac:dyDescent="0.35">
      <c r="A147" s="23" t="s">
        <v>155</v>
      </c>
      <c r="B147" s="14" t="s">
        <v>161</v>
      </c>
      <c r="C147" s="14" t="s">
        <v>170</v>
      </c>
      <c r="D147" s="14" t="s">
        <v>173</v>
      </c>
      <c r="E147" s="17">
        <v>57141</v>
      </c>
      <c r="F147" s="17">
        <v>2</v>
      </c>
      <c r="G147" s="15">
        <v>43030</v>
      </c>
      <c r="H147" s="14" t="s">
        <v>180</v>
      </c>
      <c r="I147" s="14" t="s">
        <v>276</v>
      </c>
      <c r="J147" s="5"/>
    </row>
    <row r="148" spans="1:10" x14ac:dyDescent="0.35">
      <c r="A148" s="23" t="s">
        <v>92</v>
      </c>
      <c r="B148" s="14" t="s">
        <v>163</v>
      </c>
      <c r="C148" s="14" t="s">
        <v>168</v>
      </c>
      <c r="D148" s="14" t="s">
        <v>174</v>
      </c>
      <c r="E148" s="17">
        <v>99621</v>
      </c>
      <c r="F148" s="17">
        <v>2.879032258064516</v>
      </c>
      <c r="G148" s="15">
        <v>42589</v>
      </c>
      <c r="H148" s="14" t="s">
        <v>180</v>
      </c>
      <c r="I148" s="14" t="s">
        <v>248</v>
      </c>
      <c r="J148" s="5"/>
    </row>
    <row r="149" spans="1:10" x14ac:dyDescent="0.35">
      <c r="A149" s="23" t="s">
        <v>157</v>
      </c>
      <c r="B149" s="14" t="s">
        <v>165</v>
      </c>
      <c r="C149" s="14" t="s">
        <v>170</v>
      </c>
      <c r="D149" s="14" t="s">
        <v>175</v>
      </c>
      <c r="E149" s="17">
        <v>67335</v>
      </c>
      <c r="F149" s="17">
        <v>1</v>
      </c>
      <c r="G149" s="15">
        <v>43044</v>
      </c>
      <c r="H149" s="14" t="s">
        <v>180</v>
      </c>
      <c r="I149" s="14" t="s">
        <v>233</v>
      </c>
      <c r="J149" s="5"/>
    </row>
    <row r="150" spans="1:10" ht="15" customHeight="1" x14ac:dyDescent="0.35">
      <c r="A150" s="14" t="s">
        <v>158</v>
      </c>
      <c r="B150" s="14" t="s">
        <v>163</v>
      </c>
      <c r="C150" s="14" t="s">
        <v>170</v>
      </c>
      <c r="D150" s="14" t="s">
        <v>174</v>
      </c>
      <c r="E150" s="17">
        <v>98475</v>
      </c>
      <c r="F150" s="17">
        <v>5</v>
      </c>
      <c r="G150" s="15">
        <v>43051</v>
      </c>
      <c r="H150" s="14" t="s">
        <v>180</v>
      </c>
      <c r="I150" s="14" t="s">
        <v>280</v>
      </c>
      <c r="J150" s="5"/>
    </row>
  </sheetData>
  <conditionalFormatting sqref="A2:A149">
    <cfRule type="containsText" dxfId="0" priority="1" operator="containsText" text="Unknown">
      <formula>NOT(ISERROR(SEARCH("Unknown",A2)))</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6053-030B-44E0-A5BB-4947F309A118}">
  <sheetPr>
    <tabColor rgb="FF7030A0"/>
  </sheetPr>
  <dimension ref="A1:I48"/>
  <sheetViews>
    <sheetView topLeftCell="A34" zoomScale="70" zoomScaleNormal="70" workbookViewId="0">
      <selection activeCell="K9" sqref="K9:K10"/>
    </sheetView>
  </sheetViews>
  <sheetFormatPr defaultRowHeight="14.5" x14ac:dyDescent="0.35"/>
  <cols>
    <col min="1" max="1" width="13.08984375" bestFit="1" customWidth="1"/>
    <col min="2" max="2" width="15.26953125" bestFit="1" customWidth="1"/>
    <col min="3" max="3" width="7.81640625" bestFit="1" customWidth="1"/>
    <col min="4" max="4" width="13.08984375" bestFit="1" customWidth="1"/>
    <col min="5" max="5" width="23.90625" bestFit="1" customWidth="1"/>
    <col min="6" max="7" width="10.08984375" bestFit="1" customWidth="1"/>
    <col min="8" max="8" width="16.453125" bestFit="1" customWidth="1"/>
    <col min="9" max="9" width="18.453125" customWidth="1"/>
    <col min="10" max="142" width="10.08984375" bestFit="1" customWidth="1"/>
    <col min="143" max="143" width="10.7265625" bestFit="1" customWidth="1"/>
  </cols>
  <sheetData>
    <row r="1" spans="1:9" x14ac:dyDescent="0.35">
      <c r="A1" s="19" t="s">
        <v>282</v>
      </c>
      <c r="B1" t="s">
        <v>290</v>
      </c>
      <c r="D1" s="19" t="s">
        <v>282</v>
      </c>
      <c r="E1" t="s">
        <v>286</v>
      </c>
      <c r="H1" s="24" t="s">
        <v>303</v>
      </c>
      <c r="I1" s="25">
        <f>GETPIVOTDATA("Salary",$A$1)</f>
        <v>66280.929577464791</v>
      </c>
    </row>
    <row r="2" spans="1:9" x14ac:dyDescent="0.35">
      <c r="A2" s="20" t="s">
        <v>166</v>
      </c>
      <c r="B2" s="21">
        <v>65636.758551307837</v>
      </c>
      <c r="D2" s="20" t="s">
        <v>166</v>
      </c>
      <c r="E2" s="21">
        <v>55.637096774193537</v>
      </c>
      <c r="H2" s="24"/>
      <c r="I2" s="18"/>
    </row>
    <row r="3" spans="1:9" x14ac:dyDescent="0.35">
      <c r="A3" s="20" t="s">
        <v>167</v>
      </c>
      <c r="B3" s="21">
        <v>67769.830399061029</v>
      </c>
      <c r="D3" s="20" t="s">
        <v>167</v>
      </c>
      <c r="E3" s="21">
        <v>65.516129032258064</v>
      </c>
      <c r="H3" s="24" t="s">
        <v>304</v>
      </c>
      <c r="I3" s="25">
        <f>GETPIVOTDATA("Sum of Performance Rating",$A$11)</f>
        <v>428.97580645161281</v>
      </c>
    </row>
    <row r="4" spans="1:9" x14ac:dyDescent="0.35">
      <c r="A4" s="20" t="s">
        <v>169</v>
      </c>
      <c r="B4" s="21">
        <v>66162.437183098591</v>
      </c>
      <c r="D4" s="20" t="s">
        <v>169</v>
      </c>
      <c r="E4" s="21">
        <v>73.153225806451601</v>
      </c>
      <c r="H4" s="16"/>
      <c r="I4" s="14"/>
    </row>
    <row r="5" spans="1:9" x14ac:dyDescent="0.35">
      <c r="A5" s="20" t="s">
        <v>170</v>
      </c>
      <c r="B5" s="21">
        <v>65140.411108158376</v>
      </c>
      <c r="D5" s="20" t="s">
        <v>170</v>
      </c>
      <c r="E5" s="21">
        <v>163.15322580645159</v>
      </c>
      <c r="H5" s="24" t="s">
        <v>305</v>
      </c>
      <c r="I5" s="18" t="str">
        <f>INDEX(Table35871011121415161718[Department], MATCH(MAX(Table35871011121415161718[Salary]), Table35871011121415161718[Salary], 0))</f>
        <v>Sales</v>
      </c>
    </row>
    <row r="6" spans="1:9" x14ac:dyDescent="0.35">
      <c r="A6" s="20" t="s">
        <v>168</v>
      </c>
      <c r="B6" s="21">
        <v>67865.689599133257</v>
      </c>
      <c r="D6" s="20" t="s">
        <v>168</v>
      </c>
      <c r="E6" s="21">
        <v>71.51612903225805</v>
      </c>
    </row>
    <row r="7" spans="1:9" x14ac:dyDescent="0.35">
      <c r="A7" s="20" t="s">
        <v>283</v>
      </c>
      <c r="B7" s="21">
        <v>66280.929577464791</v>
      </c>
      <c r="D7" s="20" t="s">
        <v>283</v>
      </c>
      <c r="E7" s="21">
        <v>428.97580645161281</v>
      </c>
    </row>
    <row r="11" spans="1:9" x14ac:dyDescent="0.35">
      <c r="A11" s="19" t="s">
        <v>282</v>
      </c>
      <c r="B11" t="s">
        <v>290</v>
      </c>
      <c r="C11" t="s">
        <v>286</v>
      </c>
    </row>
    <row r="12" spans="1:9" x14ac:dyDescent="0.35">
      <c r="A12" s="20" t="s">
        <v>166</v>
      </c>
      <c r="B12" s="21">
        <v>65636.758551307837</v>
      </c>
      <c r="C12" s="21">
        <v>55.637096774193537</v>
      </c>
      <c r="F12" s="21"/>
    </row>
    <row r="13" spans="1:9" x14ac:dyDescent="0.35">
      <c r="A13" s="20" t="s">
        <v>167</v>
      </c>
      <c r="B13" s="21">
        <v>67769.830399061029</v>
      </c>
      <c r="C13" s="21">
        <v>65.516129032258064</v>
      </c>
      <c r="F13" s="21"/>
    </row>
    <row r="14" spans="1:9" x14ac:dyDescent="0.35">
      <c r="A14" s="20" t="s">
        <v>169</v>
      </c>
      <c r="B14" s="21">
        <v>66162.437183098591</v>
      </c>
      <c r="C14" s="21">
        <v>73.153225806451601</v>
      </c>
      <c r="F14" s="21"/>
    </row>
    <row r="15" spans="1:9" x14ac:dyDescent="0.35">
      <c r="A15" s="20" t="s">
        <v>170</v>
      </c>
      <c r="B15" s="21">
        <v>65140.411108158376</v>
      </c>
      <c r="C15" s="21">
        <v>163.15322580645159</v>
      </c>
      <c r="F15" s="21"/>
    </row>
    <row r="16" spans="1:9" x14ac:dyDescent="0.35">
      <c r="A16" s="20" t="s">
        <v>168</v>
      </c>
      <c r="B16" s="21">
        <v>67865.689599133257</v>
      </c>
      <c r="C16" s="21">
        <v>71.51612903225805</v>
      </c>
      <c r="F16" s="21"/>
    </row>
    <row r="17" spans="1:6" x14ac:dyDescent="0.35">
      <c r="A17" s="20" t="s">
        <v>283</v>
      </c>
      <c r="B17" s="21">
        <v>66280.929577464791</v>
      </c>
      <c r="C17" s="21">
        <v>428.97580645161281</v>
      </c>
      <c r="F17" s="21"/>
    </row>
    <row r="23" spans="1:6" x14ac:dyDescent="0.35">
      <c r="A23" s="19" t="s">
        <v>282</v>
      </c>
      <c r="B23" t="s">
        <v>286</v>
      </c>
    </row>
    <row r="24" spans="1:6" x14ac:dyDescent="0.35">
      <c r="A24" s="20" t="s">
        <v>291</v>
      </c>
      <c r="B24" s="21">
        <v>28.879032258064516</v>
      </c>
    </row>
    <row r="25" spans="1:6" x14ac:dyDescent="0.35">
      <c r="A25" s="20" t="s">
        <v>292</v>
      </c>
      <c r="B25" s="21">
        <v>25.758064516129032</v>
      </c>
    </row>
    <row r="26" spans="1:6" x14ac:dyDescent="0.35">
      <c r="A26" s="20" t="s">
        <v>293</v>
      </c>
      <c r="B26" s="21">
        <v>40.758064516129032</v>
      </c>
    </row>
    <row r="27" spans="1:6" x14ac:dyDescent="0.35">
      <c r="A27" s="20" t="s">
        <v>294</v>
      </c>
      <c r="B27" s="21">
        <v>32.758064516129032</v>
      </c>
    </row>
    <row r="28" spans="1:6" x14ac:dyDescent="0.35">
      <c r="A28" s="20" t="s">
        <v>295</v>
      </c>
      <c r="B28" s="21">
        <v>44.758064516129032</v>
      </c>
    </row>
    <row r="29" spans="1:6" x14ac:dyDescent="0.35">
      <c r="A29" s="20" t="s">
        <v>296</v>
      </c>
      <c r="B29" s="21">
        <v>51.637096774193552</v>
      </c>
    </row>
    <row r="30" spans="1:6" x14ac:dyDescent="0.35">
      <c r="A30" s="20" t="s">
        <v>297</v>
      </c>
      <c r="B30" s="21">
        <v>30</v>
      </c>
    </row>
    <row r="31" spans="1:6" x14ac:dyDescent="0.35">
      <c r="A31" s="20" t="s">
        <v>298</v>
      </c>
      <c r="B31" s="21">
        <v>41.637096774193552</v>
      </c>
    </row>
    <row r="32" spans="1:6" x14ac:dyDescent="0.35">
      <c r="A32" s="20" t="s">
        <v>299</v>
      </c>
      <c r="B32" s="21">
        <v>41.758064516129032</v>
      </c>
    </row>
    <row r="33" spans="1:5" x14ac:dyDescent="0.35">
      <c r="A33" s="20" t="s">
        <v>300</v>
      </c>
      <c r="B33" s="21">
        <v>35.516129032258064</v>
      </c>
    </row>
    <row r="34" spans="1:5" x14ac:dyDescent="0.35">
      <c r="A34" s="20" t="s">
        <v>301</v>
      </c>
      <c r="B34" s="21">
        <v>30.758064516129032</v>
      </c>
    </row>
    <row r="35" spans="1:5" x14ac:dyDescent="0.35">
      <c r="A35" s="20" t="s">
        <v>302</v>
      </c>
      <c r="B35" s="21">
        <v>24.758064516129032</v>
      </c>
    </row>
    <row r="36" spans="1:5" x14ac:dyDescent="0.35">
      <c r="A36" s="20" t="s">
        <v>283</v>
      </c>
      <c r="B36" s="21">
        <v>428.97580645161287</v>
      </c>
    </row>
    <row r="41" spans="1:5" x14ac:dyDescent="0.35">
      <c r="A41" s="19" t="s">
        <v>285</v>
      </c>
      <c r="B41" s="19" t="s">
        <v>284</v>
      </c>
    </row>
    <row r="42" spans="1:5" x14ac:dyDescent="0.35">
      <c r="A42" s="19" t="s">
        <v>282</v>
      </c>
      <c r="B42" t="s">
        <v>287</v>
      </c>
      <c r="C42" t="s">
        <v>288</v>
      </c>
      <c r="D42" t="s">
        <v>289</v>
      </c>
      <c r="E42" t="s">
        <v>283</v>
      </c>
    </row>
    <row r="43" spans="1:5" x14ac:dyDescent="0.35">
      <c r="A43" s="20" t="s">
        <v>166</v>
      </c>
      <c r="B43" s="21">
        <v>519835</v>
      </c>
      <c r="C43" s="21">
        <v>537899.92957746482</v>
      </c>
      <c r="D43" s="21">
        <v>320637</v>
      </c>
      <c r="E43" s="21">
        <v>1378371.9295774647</v>
      </c>
    </row>
    <row r="44" spans="1:5" x14ac:dyDescent="0.35">
      <c r="A44" s="20" t="s">
        <v>167</v>
      </c>
      <c r="B44" s="21">
        <v>917311.92957746482</v>
      </c>
      <c r="C44" s="21">
        <v>292693</v>
      </c>
      <c r="D44" s="21">
        <v>416471</v>
      </c>
      <c r="E44" s="21">
        <v>1626475.9295774647</v>
      </c>
    </row>
    <row r="45" spans="1:5" x14ac:dyDescent="0.35">
      <c r="A45" s="20" t="s">
        <v>169</v>
      </c>
      <c r="B45" s="21">
        <v>617811</v>
      </c>
      <c r="C45" s="21">
        <v>733303.92957746482</v>
      </c>
      <c r="D45" s="21">
        <v>302946</v>
      </c>
      <c r="E45" s="21">
        <v>1654060.9295774647</v>
      </c>
    </row>
    <row r="46" spans="1:5" x14ac:dyDescent="0.35">
      <c r="A46" s="20" t="s">
        <v>170</v>
      </c>
      <c r="B46" s="21">
        <v>739232</v>
      </c>
      <c r="C46" s="21">
        <v>1502215.7887323943</v>
      </c>
      <c r="D46" s="21">
        <v>1210994</v>
      </c>
      <c r="E46" s="21">
        <v>3452441.7887323946</v>
      </c>
    </row>
    <row r="47" spans="1:5" x14ac:dyDescent="0.35">
      <c r="A47" s="20" t="s">
        <v>168</v>
      </c>
      <c r="B47" s="21">
        <v>518155</v>
      </c>
      <c r="C47" s="21">
        <v>720051</v>
      </c>
      <c r="D47" s="21">
        <v>526301.92957746482</v>
      </c>
      <c r="E47" s="21">
        <v>1764507.9295774647</v>
      </c>
    </row>
    <row r="48" spans="1:5" x14ac:dyDescent="0.35">
      <c r="A48" s="20" t="s">
        <v>283</v>
      </c>
      <c r="B48" s="21">
        <v>3312344.9295774647</v>
      </c>
      <c r="C48" s="21">
        <v>3786163.647887324</v>
      </c>
      <c r="D48" s="21">
        <v>2777349.9295774647</v>
      </c>
      <c r="E48" s="21">
        <v>9875858.5070422534</v>
      </c>
    </row>
  </sheetData>
  <pageMargins left="0.7" right="0.7" top="0.75" bottom="0.75" header="0.3" footer="0.3"/>
  <pageSetup orientation="portrait" r:id="rId6"/>
  <drawing r:id="rId7"/>
  <extLst>
    <ext xmlns:x14="http://schemas.microsoft.com/office/spreadsheetml/2009/9/main" uri="{05C60535-1F16-4fd2-B633-F4F36F0B64E0}">
      <x14:sparklineGroups xmlns:xm="http://schemas.microsoft.com/office/excel/2006/main">
        <x14:sparklineGroup type="column" displayEmptyCellsAs="gap" xr2:uid="{1835DE39-7FB2-4A9A-B1D3-F5C4CB5FDDA3}">
          <x14:colorSeries rgb="FF376092"/>
          <x14:colorNegative rgb="FFD00000"/>
          <x14:colorAxis rgb="FF000000"/>
          <x14:colorMarkers rgb="FFD00000"/>
          <x14:colorFirst rgb="FFD00000"/>
          <x14:colorLast rgb="FFD00000"/>
          <x14:colorHigh rgb="FFD00000"/>
          <x14:colorLow rgb="FFD00000"/>
          <x14:sparklines>
            <x14:sparkline>
              <xm:f>'Task 19-Pivot Table'!B2:B6</xm:f>
              <xm:sqref>B8</xm:sqref>
            </x14:sparkline>
          </x14:sparklines>
        </x14:sparklineGroup>
        <x14:sparklineGroup type="column" displayEmptyCellsAs="gap" xr2:uid="{A8BBB250-5B25-4AB8-AA94-FA62526A8058}">
          <x14:colorSeries rgb="FF376092"/>
          <x14:colorNegative rgb="FFD00000"/>
          <x14:colorAxis rgb="FF000000"/>
          <x14:colorMarkers rgb="FFD00000"/>
          <x14:colorFirst rgb="FFD00000"/>
          <x14:colorLast rgb="FFD00000"/>
          <x14:colorHigh rgb="FFD00000"/>
          <x14:colorLow rgb="FFD00000"/>
          <x14:sparklines>
            <x14:sparkline>
              <xm:f>'Task 19-Pivot Table'!C49:C53</xm:f>
              <xm:sqref>C55</xm:sqref>
            </x14:sparkline>
          </x14:sparklines>
        </x14:sparklineGroup>
        <x14:sparklineGroup type="column" displayEmptyCellsAs="gap" xr2:uid="{232A1F44-6094-427A-B671-C1A7931F5ADC}">
          <x14:colorSeries rgb="FF376092"/>
          <x14:colorNegative rgb="FFD00000"/>
          <x14:colorAxis rgb="FF000000"/>
          <x14:colorMarkers rgb="FFD00000"/>
          <x14:colorFirst rgb="FFD00000"/>
          <x14:colorLast rgb="FFD00000"/>
          <x14:colorHigh rgb="FFD00000"/>
          <x14:colorLow rgb="FFD00000"/>
          <x14:sparklines>
            <x14:sparkline>
              <xm:f>'Task 19-Pivot Table'!C48:C48</xm:f>
              <xm:sqref>C6</xm:sqref>
            </x14:sparkline>
          </x14:sparklines>
        </x14:sparklineGroup>
        <x14:sparklineGroup type="column" displayEmptyCellsAs="gap" xr2:uid="{33AACC30-30DD-451D-98A0-CBBB9D741362}">
          <x14:colorSeries rgb="FF376092"/>
          <x14:colorNegative rgb="FFD00000"/>
          <x14:colorAxis rgb="FF000000"/>
          <x14:colorMarkers rgb="FFD00000"/>
          <x14:colorFirst rgb="FFD00000"/>
          <x14:colorLast rgb="FFD00000"/>
          <x14:colorHigh rgb="FFD00000"/>
          <x14:colorLow rgb="FFD00000"/>
          <x14:sparklines>
            <x14:sparkline>
              <xm:f>'Task 19-Pivot Table'!F1:F5</xm:f>
              <xm:sqref>G48</xm:sqref>
            </x14:sparkline>
          </x14:sparklines>
        </x14:sparklineGroup>
        <x14:sparklineGroup type="column" displayEmptyCellsAs="gap" xr2:uid="{5837EF24-F632-46BD-8F57-E46DBB591DD6}">
          <x14:colorSeries rgb="FF376092"/>
          <x14:colorNegative rgb="FFD00000"/>
          <x14:colorAxis rgb="FF000000"/>
          <x14:colorMarkers rgb="FFD00000"/>
          <x14:colorFirst rgb="FFD00000"/>
          <x14:colorLast rgb="FFD00000"/>
          <x14:colorHigh rgb="FFD00000"/>
          <x14:colorLow rgb="FFD00000"/>
          <x14:sparklines>
            <x14:sparkline>
              <xm:f>'Task 19-Pivot Table'!E2:E6</xm:f>
              <xm:sqref>E8</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CAC2-95AC-4E11-A893-E2CCF4B01D84}">
  <sheetPr>
    <tabColor rgb="FF7030A0"/>
  </sheetPr>
  <dimension ref="A1:T1"/>
  <sheetViews>
    <sheetView showGridLines="0" tabSelected="1" zoomScaleNormal="100" workbookViewId="0">
      <selection activeCell="C4" sqref="C4"/>
    </sheetView>
  </sheetViews>
  <sheetFormatPr defaultRowHeight="14.5" x14ac:dyDescent="0.35"/>
  <sheetData>
    <row r="1" spans="1:20" ht="17.5" customHeight="1" x14ac:dyDescent="0.35">
      <c r="A1" s="26" t="s">
        <v>306</v>
      </c>
      <c r="B1" s="26"/>
      <c r="C1" s="26"/>
      <c r="D1" s="26"/>
      <c r="E1" s="26"/>
      <c r="F1" s="26"/>
      <c r="G1" s="26"/>
      <c r="H1" s="26"/>
      <c r="I1" s="26"/>
      <c r="J1" s="26"/>
      <c r="K1" s="26"/>
      <c r="L1" s="26"/>
      <c r="M1" s="26"/>
      <c r="N1" s="26"/>
      <c r="O1" s="26"/>
      <c r="P1" s="26"/>
      <c r="Q1" s="26"/>
      <c r="R1" s="26"/>
      <c r="S1" s="26"/>
      <c r="T1" s="26"/>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78E6C-22B3-4F83-9E62-9FA0177C0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Sheet1(Copy)</vt:lpstr>
      <vt:lpstr>Data Cleaned</vt:lpstr>
      <vt:lpstr>Task 19</vt:lpstr>
      <vt:lpstr>Task 19-Pivot Table</vt:lpstr>
      <vt:lpstr>Task 19 -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reanil jueleon</dc:creator>
  <cp:lastModifiedBy>reanil jueleon</cp:lastModifiedBy>
  <dcterms:created xsi:type="dcterms:W3CDTF">2025-05-31T18:11:07Z</dcterms:created>
  <dcterms:modified xsi:type="dcterms:W3CDTF">2026-02-16T09:33:40Z</dcterms:modified>
</cp:coreProperties>
</file>